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  <sheet name="Supuestos" sheetId="2" state="visible" r:id="rId2"/>
    <sheet name="Costos por cartera" sheetId="3" state="visible" r:id="rId3"/>
    <sheet name="Gastos de arranque" sheetId="4" state="visible" r:id="rId4"/>
    <sheet name="Gastos fij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 &quot;#,##0;-&quot;$ &quot;#,##0;&quot;-&quot;"/>
    <numFmt numFmtId="166" formatCode="0.##"/>
  </numFmts>
  <fonts count="8">
    <font>
      <name val="Calibri"/>
      <family val="2"/>
      <color theme="1"/>
      <sz val="11"/>
      <scheme val="minor"/>
    </font>
    <font>
      <name val="Arial"/>
      <b val="1"/>
      <color rgb="005C3427"/>
      <sz val="14"/>
    </font>
    <font>
      <name val="Arial"/>
      <i val="1"/>
      <color rgb="008A6A5E"/>
      <sz val="9"/>
    </font>
    <font>
      <name val="Arial"/>
      <b val="1"/>
      <color rgb="00F4EFE4"/>
    </font>
    <font>
      <name val="Arial"/>
    </font>
    <font>
      <name val="Arial"/>
      <color rgb="000000FF"/>
    </font>
    <font>
      <name val="Arial"/>
      <b val="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C3427"/>
      </patternFill>
    </fill>
    <fill>
      <patternFill patternType="solid">
        <fgColor rgb="00FFF3B0"/>
      </patternFill>
    </fill>
    <fill>
      <patternFill patternType="solid">
        <fgColor rgb="006C21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5" fontId="4" fillId="0" borderId="0" pivotButton="0" quotePrefix="0" xfId="0"/>
    <xf numFmtId="0" fontId="7" fillId="4" borderId="0" pivotButton="0" quotePrefix="0" xfId="0"/>
    <xf numFmtId="165" fontId="7" fillId="4" borderId="0" pivotButton="0" quotePrefix="0" xfId="0"/>
    <xf numFmtId="0" fontId="6" fillId="0" borderId="0" pivotButton="0" quotePrefix="0" xfId="0"/>
    <xf numFmtId="165" fontId="6" fillId="0" borderId="0" pivotButton="0" quotePrefix="0" xfId="0"/>
    <xf numFmtId="164" fontId="4" fillId="0" borderId="0" pivotButton="0" quotePrefix="0" xfId="0"/>
    <xf numFmtId="1" fontId="6" fillId="0" borderId="0" pivotButton="0" quotePrefix="0" xfId="0"/>
    <xf numFmtId="1" fontId="5" fillId="3" borderId="0" pivotButton="0" quotePrefix="0" xfId="0"/>
    <xf numFmtId="9" fontId="5" fillId="3" borderId="0" pivotButton="0" quotePrefix="0" xfId="0"/>
    <xf numFmtId="164" fontId="5" fillId="3" borderId="0" pivotButton="0" quotePrefix="0" xfId="0"/>
    <xf numFmtId="165" fontId="5" fillId="3" borderId="0" pivotButton="0" quotePrefix="0" xfId="0"/>
    <xf numFmtId="164" fontId="6" fillId="0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166" fontId="5" fillId="3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Algo Nuestro · Cuánto sale hacer una cartera</t>
        </is>
      </c>
    </row>
    <row r="2">
      <c r="A2" s="2" t="inlineStr">
        <is>
          <t>Esta hoja no se toca: se calcula sola con las otras.</t>
        </is>
      </c>
    </row>
    <row r="4" ht="32" customHeight="1">
      <c r="A4" s="3" t="inlineStr"/>
      <c r="B4" s="3" t="inlineStr">
        <is>
          <t>Bandolera Potra</t>
        </is>
      </c>
      <c r="C4" s="3" t="inlineStr">
        <is>
          <t>Matera Criolla</t>
        </is>
      </c>
      <c r="D4" s="3" t="inlineStr">
        <is>
          <t>Cartera Gauchita</t>
        </is>
      </c>
    </row>
    <row r="5">
      <c r="A5" s="4" t="inlineStr">
        <is>
          <t>Materiales, taller, trenzado y packaging</t>
        </is>
      </c>
      <c r="B5" s="5">
        <f>SUMIFS('Costos por cartera'!$G$6:$G$45,'Costos por cartera'!C$6:C$45,"x")</f>
        <v/>
      </c>
      <c r="C5" s="5">
        <f>SUMIFS('Costos por cartera'!$G$6:$G$45,'Costos por cartera'!D$6:D$45,"x")</f>
        <v/>
      </c>
      <c r="D5" s="5">
        <f>SUMIFS('Costos por cartera'!$G$6:$G$45,'Costos por cartera'!E$6:E$45,"x")</f>
        <v/>
      </c>
    </row>
    <row r="6">
      <c r="A6" s="4" t="inlineStr">
        <is>
          <t>+ Muestras y moldes (mientras se recuperan)</t>
        </is>
      </c>
      <c r="B6" s="5">
        <f>IF(Supuestos!$B$5&gt;0,SUM('Gastos de arranque'!F$6:F$25)/Supuestos!$B$5,0)</f>
        <v/>
      </c>
      <c r="C6" s="5">
        <f>IF(Supuestos!$B$5&gt;0,SUM('Gastos de arranque'!G$6:G$25)/Supuestos!$B$5,0)</f>
        <v/>
      </c>
      <c r="D6" s="5">
        <f>IF(Supuestos!$B$5&gt;0,SUM('Gastos de arranque'!H$6:H$25)/Supuestos!$B$5,0)</f>
        <v/>
      </c>
    </row>
    <row r="7">
      <c r="A7" s="4" t="inlineStr">
        <is>
          <t>+ Gastos fijos del mes (por cartera vendida)</t>
        </is>
      </c>
      <c r="B7" s="5">
        <f>IF(Supuestos!$B$6&gt;0,SUM('Gastos fijos'!$B$6:$B$15)/Supuestos!$B$6,0)</f>
        <v/>
      </c>
      <c r="C7" s="5">
        <f>IF(Supuestos!$B$6&gt;0,SUM('Gastos fijos'!$B$6:$B$15)/Supuestos!$B$6,0)</f>
        <v/>
      </c>
      <c r="D7" s="5">
        <f>IF(Supuestos!$B$6&gt;0,SUM('Gastos fijos'!$B$6:$B$15)/Supuestos!$B$6,0)</f>
        <v/>
      </c>
    </row>
    <row r="8">
      <c r="A8" s="6" t="inlineStr">
        <is>
          <t>Costo con TODO incluido</t>
        </is>
      </c>
      <c r="B8" s="7">
        <f>SUM(B5:B7)</f>
        <v/>
      </c>
      <c r="C8" s="7">
        <f>SUM(C5:C7)</f>
        <v/>
      </c>
      <c r="D8" s="7">
        <f>SUM(D5:D7)</f>
        <v/>
      </c>
    </row>
    <row r="10" ht="32" customHeight="1">
      <c r="A10" s="3" t="inlineStr">
        <is>
          <t>Precio de venta</t>
        </is>
      </c>
      <c r="B10" s="3" t="inlineStr">
        <is>
          <t>Bandolera Potra</t>
        </is>
      </c>
      <c r="C10" s="3" t="inlineStr">
        <is>
          <t>Matera Criolla</t>
        </is>
      </c>
      <c r="D10" s="3" t="inlineStr">
        <is>
          <t>Cartera Gauchita</t>
        </is>
      </c>
    </row>
    <row r="11">
      <c r="A11" s="4" t="inlineStr">
        <is>
          <t>Precio sugerido = costo ÷ (1 − margen − comisiones)</t>
        </is>
      </c>
      <c r="B11" s="5">
        <f>IF(1-Supuestos!$B$7-Supuestos!$B$12&lt;=0,0,B8/(1-Supuestos!$B$7-Supuestos!$B$12))</f>
        <v/>
      </c>
      <c r="C11" s="5">
        <f>IF(1-Supuestos!$B$7-Supuestos!$B$12&lt;=0,0,C8/(1-Supuestos!$B$7-Supuestos!$B$12))</f>
        <v/>
      </c>
      <c r="D11" s="5">
        <f>IF(1-Supuestos!$B$7-Supuestos!$B$12&lt;=0,0,D8/(1-Supuestos!$B$7-Supuestos!$B$12))</f>
        <v/>
      </c>
    </row>
    <row r="12">
      <c r="A12" s="6" t="inlineStr">
        <is>
          <t>Precio redondeado</t>
        </is>
      </c>
      <c r="B12" s="7">
        <f>IF(Supuestos!$B$11&gt;0,CEILING(B11,Supuestos!$B$11),B11)</f>
        <v/>
      </c>
      <c r="C12" s="7">
        <f>IF(Supuestos!$B$11&gt;0,CEILING(C11,Supuestos!$B$11),C11)</f>
        <v/>
      </c>
      <c r="D12" s="7">
        <f>IF(Supuestos!$B$11&gt;0,CEILING(D11,Supuestos!$B$11),D11)</f>
        <v/>
      </c>
    </row>
    <row r="13">
      <c r="A13" s="4" t="inlineStr">
        <is>
          <t>− Comisiones e impuestos</t>
        </is>
      </c>
      <c r="B13" s="5">
        <f>B12*Supuestos!$B$12</f>
        <v/>
      </c>
      <c r="C13" s="5">
        <f>C12*Supuestos!$B$12</f>
        <v/>
      </c>
      <c r="D13" s="5">
        <f>D12*Supuestos!$B$12</f>
        <v/>
      </c>
    </row>
    <row r="14">
      <c r="A14" s="8" t="inlineStr">
        <is>
          <t>Te queda por cartera</t>
        </is>
      </c>
      <c r="B14" s="9">
        <f>B12-B13-B8</f>
        <v/>
      </c>
      <c r="C14" s="9">
        <f>C12-C13-C8</f>
        <v/>
      </c>
      <c r="D14" s="9">
        <f>D12-D13-D8</f>
        <v/>
      </c>
    </row>
    <row r="15">
      <c r="A15" s="4" t="inlineStr">
        <is>
          <t>Margen real</t>
        </is>
      </c>
      <c r="B15" s="10">
        <f>IF(B12=0,0,B14/B12)</f>
        <v/>
      </c>
      <c r="C15" s="10">
        <f>IF(C12=0,0,C14/C12)</f>
        <v/>
      </c>
      <c r="D15" s="10">
        <f>IF(D12=0,0,D14/D12)</f>
        <v/>
      </c>
    </row>
    <row r="17" ht="32" customHeight="1">
      <c r="A17" s="3" t="inlineStr">
        <is>
          <t>Para tener en cuenta</t>
        </is>
      </c>
      <c r="B17" s="3" t="inlineStr"/>
      <c r="C17" s="3" t="inlineStr"/>
      <c r="D17" s="3" t="inlineStr"/>
    </row>
    <row r="18">
      <c r="A18" s="4" t="inlineStr">
        <is>
          <t>Costos cargados sin precio (filas amarillas vacías)</t>
        </is>
      </c>
      <c r="B18" s="11">
        <f>COUNTIFS('Costos por cartera'!$A$6:$A$45,"&lt;&gt;",'Costos por cartera'!$B$6:$B$45,"")</f>
        <v/>
      </c>
      <c r="C18" s="2" t="inlineStr">
        <is>
          <t>Mientras haya costos sin precio, el costo real es más alto.</t>
        </is>
      </c>
    </row>
    <row r="19">
      <c r="A19" s="4" t="inlineStr">
        <is>
          <t>Invertido en muestras y moldes</t>
        </is>
      </c>
      <c r="B19" s="5">
        <f>SUM('Gastos de arranque'!$B$6:$B$25)</f>
        <v/>
      </c>
    </row>
    <row r="20">
      <c r="A20" s="4" t="inlineStr">
        <is>
          <t>Plata puesta en compras (bolsas, etc.)</t>
        </is>
      </c>
      <c r="B20" s="5">
        <f>SUM('Costos por cartera'!$I$6:$I$45)</f>
        <v/>
      </c>
    </row>
    <row r="21">
      <c r="A21" s="4" t="inlineStr">
        <is>
          <t>Gastos fijos por mes</t>
        </is>
      </c>
      <c r="B21" s="5">
        <f>SUM('Gastos fijos'!$B$6:$B$15)</f>
        <v/>
      </c>
    </row>
    <row r="22">
      <c r="A22" s="2" t="inlineStr">
        <is>
          <t>Las muestras y moldes se dejan de cobrar después de las primeras carteras de cada modelo (hoja Supuestos): ahí el costo baja.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62" customWidth="1" min="3" max="3"/>
  </cols>
  <sheetData>
    <row r="1">
      <c r="A1" s="1" t="inlineStr">
        <is>
          <t>Supuestos</t>
        </is>
      </c>
    </row>
    <row r="2">
      <c r="A2" s="2" t="inlineStr">
        <is>
          <t>Celdas amarillas: las cambiás vos. Los números de ejemplo vienen de lo que pasó Loli; las comisiones están pendientes.</t>
        </is>
      </c>
    </row>
    <row r="4" ht="32" customHeight="1">
      <c r="A4" s="3" t="inlineStr">
        <is>
          <t>Dato</t>
        </is>
      </c>
      <c r="B4" s="3" t="inlineStr">
        <is>
          <t>Valor</t>
        </is>
      </c>
      <c r="C4" s="3" t="inlineStr">
        <is>
          <t>De dónde sale</t>
        </is>
      </c>
    </row>
    <row r="5">
      <c r="A5" s="4" t="inlineStr">
        <is>
          <t>Recuperar muestras y moldes en … carteras de cada modelo</t>
        </is>
      </c>
      <c r="B5" s="12" t="n">
        <v>10</v>
      </c>
      <c r="C5" s="2" t="inlineStr">
        <is>
          <t>Decisión de Loli: 10 de cada una (30 en total).</t>
        </is>
      </c>
    </row>
    <row r="6">
      <c r="A6" s="4" t="inlineStr">
        <is>
          <t>Carteras que pensás vender por mes (todas juntas)</t>
        </is>
      </c>
      <c r="B6" s="12" t="n">
        <v>20</v>
      </c>
      <c r="C6" s="2" t="inlineStr">
        <is>
          <t>SUPUESTO de ejemplo: cambialo por tu estimación.</t>
        </is>
      </c>
    </row>
    <row r="7">
      <c r="A7" s="4" t="inlineStr">
        <is>
          <t>Margen que querés quedarte (% del precio de venta)</t>
        </is>
      </c>
      <c r="B7" s="13" t="n">
        <v>0.5</v>
      </c>
      <c r="C7" s="2" t="inlineStr">
        <is>
          <t>Margen sobre el precio, no sobre el costo.</t>
        </is>
      </c>
    </row>
    <row r="8">
      <c r="A8" s="4" t="inlineStr">
        <is>
          <t>Comisión Tiendanube por venta</t>
        </is>
      </c>
      <c r="B8" s="14" t="n">
        <v>0</v>
      </c>
      <c r="C8" s="2" t="inlineStr">
        <is>
          <t>PENDIENTE: según tu plan.</t>
        </is>
      </c>
    </row>
    <row r="9">
      <c r="A9" s="4" t="inlineStr">
        <is>
          <t>Comisión Mercado Pago (el medio de pago más caro que ofrezcas)</t>
        </is>
      </c>
      <c r="B9" s="14" t="n">
        <v>0</v>
      </c>
      <c r="C9" s="2" t="inlineStr">
        <is>
          <t>PENDIENTE: ver la tabla de costos de Mercado Pago.</t>
        </is>
      </c>
    </row>
    <row r="10">
      <c r="A10" s="4" t="inlineStr">
        <is>
          <t>IVA sobre las comisiones</t>
        </is>
      </c>
      <c r="B10" s="13" t="n">
        <v>0.21</v>
      </c>
      <c r="C10" s="2" t="inlineStr">
        <is>
          <t>Como monotributista no lo recuperás. Poné 0% si no aplica.</t>
        </is>
      </c>
    </row>
    <row r="11">
      <c r="A11" s="4" t="inlineStr">
        <is>
          <t>Redondear el precio a (para arriba)</t>
        </is>
      </c>
      <c r="B11" s="15" t="n">
        <v>1000</v>
      </c>
      <c r="C11" s="2" t="inlineStr">
        <is>
          <t>Poné 0 para no redondear.</t>
        </is>
      </c>
    </row>
    <row r="12">
      <c r="A12" s="8" t="inlineStr">
        <is>
          <t>Comisiones e impuestos por venta, en total</t>
        </is>
      </c>
      <c r="B12" s="16">
        <f>(B8+B9)*(1+B10)</f>
        <v/>
      </c>
      <c r="C12" s="2" t="inlineStr">
        <is>
          <t>Se calcula solo: (Tiendanube + Mercado Pago) × (1 + IVA)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9" customWidth="1" min="3" max="3"/>
    <col width="9" customWidth="1" min="4" max="4"/>
    <col width="10" customWidth="1" min="5" max="5"/>
    <col width="15" customWidth="1" min="6" max="6"/>
    <col width="16" customWidth="1" min="7" max="7"/>
    <col width="15" customWidth="1" min="8" max="8"/>
    <col width="15" customWidth="1" min="9" max="9"/>
    <col width="52" customWidth="1" min="10" max="10"/>
  </cols>
  <sheetData>
    <row r="1">
      <c r="A1" s="1" t="inlineStr">
        <is>
          <t>Costos por cartera</t>
        </is>
      </c>
    </row>
    <row r="2">
      <c r="A2" s="2" t="inlineStr">
        <is>
          <t>Una fila por cada cosa que usa una cartera: cuero, taller, trenzado, herrajes, bolsas, envío.</t>
        </is>
      </c>
    </row>
    <row r="3">
      <c r="A3" s="2" t="inlineStr">
        <is>
          <t>Poné una x en las carteras que la usan. Amarillo = lo completás vos. Las columnas blancas se calculan solas.</t>
        </is>
      </c>
    </row>
    <row r="4">
      <c r="A4" s="2" t="inlineStr">
        <is>
          <t>Si compraste por cantidad, poné el precio de UNA unidad y cuántas compraste: a la cartera se le cobra solo lo que usa.</t>
        </is>
      </c>
    </row>
    <row r="5" ht="32" customHeight="1">
      <c r="A5" s="3" t="inlineStr">
        <is>
          <t>Concepto</t>
        </is>
      </c>
      <c r="B5" s="3" t="inlineStr">
        <is>
          <t>Precio por unidad</t>
        </is>
      </c>
      <c r="C5" s="3" t="inlineStr">
        <is>
          <t>Potra</t>
        </is>
      </c>
      <c r="D5" s="3" t="inlineStr">
        <is>
          <t>Criolla</t>
        </is>
      </c>
      <c r="E5" s="3" t="inlineStr">
        <is>
          <t>Gauchita</t>
        </is>
      </c>
      <c r="F5" s="3" t="inlineStr">
        <is>
          <t>Cuántas usa cada cartera</t>
        </is>
      </c>
      <c r="G5" s="3" t="inlineStr">
        <is>
          <t>Costo por cartera</t>
        </is>
      </c>
      <c r="H5" s="3" t="inlineStr">
        <is>
          <t>Cuántas compraste</t>
        </is>
      </c>
      <c r="I5" s="3" t="inlineStr">
        <is>
          <t>Total pagado</t>
        </is>
      </c>
      <c r="J5" s="3" t="inlineStr">
        <is>
          <t>Nota</t>
        </is>
      </c>
    </row>
    <row r="6">
      <c r="A6" s="17" t="inlineStr">
        <is>
          <t>Trenzado plano</t>
        </is>
      </c>
      <c r="B6" s="15" t="n">
        <v>16000</v>
      </c>
      <c r="C6" s="18" t="n"/>
      <c r="D6" s="18" t="n"/>
      <c r="E6" s="18" t="inlineStr">
        <is>
          <t>x</t>
        </is>
      </c>
      <c r="F6" s="19" t="n">
        <v>1</v>
      </c>
      <c r="G6" s="5">
        <f>IF(B6="","",B6*IF(F6="",1,F6))</f>
        <v/>
      </c>
      <c r="H6" s="20" t="n"/>
      <c r="I6" s="5">
        <f>IF(OR(B6="",H6=""),"",B6*H6)</f>
        <v/>
      </c>
      <c r="J6" s="2" t="inlineStr">
        <is>
          <t>Precio por cartera.</t>
        </is>
      </c>
    </row>
    <row r="7">
      <c r="A7" s="17" t="inlineStr">
        <is>
          <t>Trenzado tubular</t>
        </is>
      </c>
      <c r="B7" s="15" t="n">
        <v>19000</v>
      </c>
      <c r="C7" s="18" t="n"/>
      <c r="D7" s="18" t="inlineStr">
        <is>
          <t>x</t>
        </is>
      </c>
      <c r="E7" s="18" t="n"/>
      <c r="F7" s="19" t="n">
        <v>1</v>
      </c>
      <c r="G7" s="5">
        <f>IF(B7="","",B7*IF(F7="",1,F7))</f>
        <v/>
      </c>
      <c r="H7" s="20" t="n"/>
      <c r="I7" s="5">
        <f>IF(OR(B7="",H7=""),"",B7*H7)</f>
        <v/>
      </c>
      <c r="J7" s="2" t="inlineStr">
        <is>
          <t>Precio por cartera.</t>
        </is>
      </c>
    </row>
    <row r="8">
      <c r="A8" s="17" t="inlineStr">
        <is>
          <t>Bolsa de lienzo chica</t>
        </is>
      </c>
      <c r="B8" s="15" t="n">
        <v>2600</v>
      </c>
      <c r="C8" s="18" t="inlineStr">
        <is>
          <t>x</t>
        </is>
      </c>
      <c r="D8" s="18" t="n"/>
      <c r="E8" s="18" t="n"/>
      <c r="F8" s="19" t="n">
        <v>1</v>
      </c>
      <c r="G8" s="5">
        <f>IF(B8="","",B8*IF(F8="",1,F8))</f>
        <v/>
      </c>
      <c r="H8" s="20" t="n">
        <v>30</v>
      </c>
      <c r="I8" s="5">
        <f>IF(OR(B8="",H8=""),"",B8*H8)</f>
        <v/>
      </c>
      <c r="J8" s="2" t="inlineStr">
        <is>
          <t>Precio final.</t>
        </is>
      </c>
    </row>
    <row r="9">
      <c r="A9" s="17" t="inlineStr">
        <is>
          <t>Bolsa de cartulina chica</t>
        </is>
      </c>
      <c r="B9" s="15" t="n">
        <v>3670</v>
      </c>
      <c r="C9" s="18" t="inlineStr">
        <is>
          <t>x</t>
        </is>
      </c>
      <c r="D9" s="18" t="n"/>
      <c r="E9" s="18" t="n"/>
      <c r="F9" s="19" t="n">
        <v>1</v>
      </c>
      <c r="G9" s="5">
        <f>IF(B9="","",B9*IF(F9="",1,F9))</f>
        <v/>
      </c>
      <c r="H9" s="20" t="n">
        <v>25</v>
      </c>
      <c r="I9" s="5">
        <f>IF(OR(B9="",H9=""),"",B9*H9)</f>
        <v/>
      </c>
      <c r="J9" s="2" t="inlineStr">
        <is>
          <t>Precio final.</t>
        </is>
      </c>
    </row>
    <row r="10">
      <c r="A10" s="17" t="inlineStr">
        <is>
          <t>Bolsa e-commerce chica</t>
        </is>
      </c>
      <c r="B10" s="15" t="n">
        <v>133</v>
      </c>
      <c r="C10" s="18" t="inlineStr">
        <is>
          <t>x</t>
        </is>
      </c>
      <c r="D10" s="18" t="n"/>
      <c r="E10" s="18" t="n"/>
      <c r="F10" s="19" t="n">
        <v>1</v>
      </c>
      <c r="G10" s="5">
        <f>IF(B10="","",B10*IF(F10="",1,F10))</f>
        <v/>
      </c>
      <c r="H10" s="20" t="n">
        <v>100</v>
      </c>
      <c r="I10" s="5">
        <f>IF(OR(B10="",H10=""),"",B10*H10)</f>
        <v/>
      </c>
      <c r="J10" s="2" t="inlineStr">
        <is>
          <t>Precio final.</t>
        </is>
      </c>
    </row>
    <row r="11">
      <c r="A11" s="17" t="inlineStr">
        <is>
          <t>Bolsa de lienzo grande</t>
        </is>
      </c>
      <c r="B11" s="15" t="n">
        <v>4500</v>
      </c>
      <c r="C11" s="18" t="n"/>
      <c r="D11" s="18" t="inlineStr">
        <is>
          <t>x</t>
        </is>
      </c>
      <c r="E11" s="18" t="inlineStr">
        <is>
          <t>x</t>
        </is>
      </c>
      <c r="F11" s="19" t="n">
        <v>1</v>
      </c>
      <c r="G11" s="5">
        <f>IF(B11="","",B11*IF(F11="",1,F11))</f>
        <v/>
      </c>
      <c r="H11" s="20" t="n">
        <v>30</v>
      </c>
      <c r="I11" s="5">
        <f>IF(OR(B11="",H11=""),"",B11*H11)</f>
        <v/>
      </c>
      <c r="J11" s="2" t="inlineStr">
        <is>
          <t>Precio final. Se usa en Criolla y Gauchita.</t>
        </is>
      </c>
    </row>
    <row r="12">
      <c r="A12" s="17" t="inlineStr">
        <is>
          <t>Bolsa de cartulina grande</t>
        </is>
      </c>
      <c r="B12" s="15" t="n">
        <v>4705</v>
      </c>
      <c r="C12" s="18" t="n"/>
      <c r="D12" s="18" t="inlineStr">
        <is>
          <t>x</t>
        </is>
      </c>
      <c r="E12" s="18" t="inlineStr">
        <is>
          <t>x</t>
        </is>
      </c>
      <c r="F12" s="19" t="n">
        <v>1</v>
      </c>
      <c r="G12" s="5">
        <f>IF(B12="","",B12*IF(F12="",1,F12))</f>
        <v/>
      </c>
      <c r="H12" s="20" t="n">
        <v>50</v>
      </c>
      <c r="I12" s="5">
        <f>IF(OR(B12="",H12=""),"",B12*H12)</f>
        <v/>
      </c>
      <c r="J12" s="2" t="inlineStr">
        <is>
          <t>Precio final. Se usa en Criolla y Gauchita.</t>
        </is>
      </c>
    </row>
    <row r="13">
      <c r="A13" s="17" t="inlineStr">
        <is>
          <t>Bolsa e-commerce grande</t>
        </is>
      </c>
      <c r="B13" s="15" t="n">
        <v>305</v>
      </c>
      <c r="C13" s="18" t="n"/>
      <c r="D13" s="18" t="inlineStr">
        <is>
          <t>x</t>
        </is>
      </c>
      <c r="E13" s="18" t="inlineStr">
        <is>
          <t>x</t>
        </is>
      </c>
      <c r="F13" s="19" t="n">
        <v>1</v>
      </c>
      <c r="G13" s="5">
        <f>IF(B13="","",B13*IF(F13="",1,F13))</f>
        <v/>
      </c>
      <c r="H13" s="20" t="n">
        <v>100</v>
      </c>
      <c r="I13" s="5">
        <f>IF(OR(B13="",H13=""),"",B13*H13)</f>
        <v/>
      </c>
      <c r="J13" s="2" t="inlineStr">
        <is>
          <t>Precio final. Se usa en Criolla y Gauchita.</t>
        </is>
      </c>
    </row>
    <row r="14">
      <c r="A14" s="17" t="inlineStr">
        <is>
          <t>Cuero de producción — Potra</t>
        </is>
      </c>
      <c r="B14" s="15" t="n"/>
      <c r="C14" s="18" t="inlineStr">
        <is>
          <t>x</t>
        </is>
      </c>
      <c r="D14" s="18" t="n"/>
      <c r="E14" s="18" t="n"/>
      <c r="F14" s="19" t="n">
        <v>1</v>
      </c>
      <c r="G14" s="5">
        <f>IF(B14="","",B14*IF(F14="",1,F14))</f>
        <v/>
      </c>
      <c r="H14" s="20" t="n"/>
      <c r="I14" s="5">
        <f>IF(OR(B14="",H14=""),"",B14*H14)</f>
        <v/>
      </c>
      <c r="J14" s="2" t="inlineStr">
        <is>
          <t>FALTA: precio de la chapa ÷ carteras que salen de una chapa.</t>
        </is>
      </c>
    </row>
    <row r="15">
      <c r="A15" s="17" t="inlineStr">
        <is>
          <t>Cuero de producción — Criolla</t>
        </is>
      </c>
      <c r="B15" s="15" t="n"/>
      <c r="C15" s="18" t="n"/>
      <c r="D15" s="18" t="inlineStr">
        <is>
          <t>x</t>
        </is>
      </c>
      <c r="E15" s="18" t="n"/>
      <c r="F15" s="19" t="n">
        <v>1</v>
      </c>
      <c r="G15" s="5">
        <f>IF(B15="","",B15*IF(F15="",1,F15))</f>
        <v/>
      </c>
      <c r="H15" s="20" t="n"/>
      <c r="I15" s="5">
        <f>IF(OR(B15="",H15=""),"",B15*H15)</f>
        <v/>
      </c>
      <c r="J15" s="2" t="inlineStr">
        <is>
          <t>FALTA</t>
        </is>
      </c>
    </row>
    <row r="16">
      <c r="A16" s="17" t="inlineStr">
        <is>
          <t>Cuero de producción — Gauchita</t>
        </is>
      </c>
      <c r="B16" s="15" t="n"/>
      <c r="C16" s="18" t="n"/>
      <c r="D16" s="18" t="n"/>
      <c r="E16" s="18" t="inlineStr">
        <is>
          <t>x</t>
        </is>
      </c>
      <c r="F16" s="19" t="n">
        <v>1</v>
      </c>
      <c r="G16" s="5">
        <f>IF(B16="","",B16*IF(F16="",1,F16))</f>
        <v/>
      </c>
      <c r="H16" s="20" t="n"/>
      <c r="I16" s="5">
        <f>IF(OR(B16="",H16=""),"",B16*H16)</f>
        <v/>
      </c>
      <c r="J16" s="2" t="inlineStr">
        <is>
          <t>FALTA</t>
        </is>
      </c>
    </row>
    <row r="17">
      <c r="A17" s="17" t="inlineStr">
        <is>
          <t>Taller (mano de obra de producción) — Potra</t>
        </is>
      </c>
      <c r="B17" s="15" t="n"/>
      <c r="C17" s="18" t="inlineStr">
        <is>
          <t>x</t>
        </is>
      </c>
      <c r="D17" s="18" t="n"/>
      <c r="E17" s="18" t="n"/>
      <c r="F17" s="19" t="n">
        <v>1</v>
      </c>
      <c r="G17" s="5">
        <f>IF(B17="","",B17*IF(F17="",1,F17))</f>
        <v/>
      </c>
      <c r="H17" s="20" t="n"/>
      <c r="I17" s="5">
        <f>IF(OR(B17="",H17=""),"",B17*H17)</f>
        <v/>
      </c>
      <c r="J17" s="2" t="inlineStr">
        <is>
          <t>FALTA: lo que cobra el taller por cartera (no la muestra).</t>
        </is>
      </c>
    </row>
    <row r="18">
      <c r="A18" s="17" t="inlineStr">
        <is>
          <t>Taller (mano de obra de producción) — Criolla</t>
        </is>
      </c>
      <c r="B18" s="15" t="n"/>
      <c r="C18" s="18" t="n"/>
      <c r="D18" s="18" t="inlineStr">
        <is>
          <t>x</t>
        </is>
      </c>
      <c r="E18" s="18" t="n"/>
      <c r="F18" s="19" t="n">
        <v>1</v>
      </c>
      <c r="G18" s="5">
        <f>IF(B18="","",B18*IF(F18="",1,F18))</f>
        <v/>
      </c>
      <c r="H18" s="20" t="n"/>
      <c r="I18" s="5">
        <f>IF(OR(B18="",H18=""),"",B18*H18)</f>
        <v/>
      </c>
      <c r="J18" s="2" t="inlineStr">
        <is>
          <t>FALTA</t>
        </is>
      </c>
    </row>
    <row r="19">
      <c r="A19" s="17" t="inlineStr">
        <is>
          <t>Taller (mano de obra de producción) — Gauchita</t>
        </is>
      </c>
      <c r="B19" s="15" t="n"/>
      <c r="C19" s="18" t="n"/>
      <c r="D19" s="18" t="n"/>
      <c r="E19" s="18" t="inlineStr">
        <is>
          <t>x</t>
        </is>
      </c>
      <c r="F19" s="19" t="n">
        <v>1</v>
      </c>
      <c r="G19" s="5">
        <f>IF(B19="","",B19*IF(F19="",1,F19))</f>
        <v/>
      </c>
      <c r="H19" s="20" t="n"/>
      <c r="I19" s="5">
        <f>IF(OR(B19="",H19=""),"",B19*H19)</f>
        <v/>
      </c>
      <c r="J19" s="2" t="inlineStr">
        <is>
          <t>FALTA</t>
        </is>
      </c>
    </row>
    <row r="20">
      <c r="A20" s="17" t="inlineStr">
        <is>
          <t>Herrajes, cierres, forro, hilo — Potra</t>
        </is>
      </c>
      <c r="B20" s="15" t="n"/>
      <c r="C20" s="18" t="inlineStr">
        <is>
          <t>x</t>
        </is>
      </c>
      <c r="D20" s="18" t="n"/>
      <c r="E20" s="18" t="n"/>
      <c r="F20" s="19" t="n">
        <v>1</v>
      </c>
      <c r="G20" s="5">
        <f>IF(B20="","",B20*IF(F20="",1,F20))</f>
        <v/>
      </c>
      <c r="H20" s="20" t="n"/>
      <c r="I20" s="5">
        <f>IF(OR(B20="",H20=""),"",B20*H20)</f>
        <v/>
      </c>
      <c r="J20" s="2" t="inlineStr">
        <is>
          <t>FALTA: broche imán, cierres, hebilla, microfibra, hilo.</t>
        </is>
      </c>
    </row>
    <row r="21">
      <c r="A21" s="17" t="inlineStr">
        <is>
          <t>Herrajes, cierres, forro, hilo — Criolla</t>
        </is>
      </c>
      <c r="B21" s="15" t="n"/>
      <c r="C21" s="18" t="n"/>
      <c r="D21" s="18" t="inlineStr">
        <is>
          <t>x</t>
        </is>
      </c>
      <c r="E21" s="18" t="n"/>
      <c r="F21" s="19" t="n">
        <v>1</v>
      </c>
      <c r="G21" s="5">
        <f>IF(B21="","",B21*IF(F21="",1,F21))</f>
        <v/>
      </c>
      <c r="H21" s="20" t="n"/>
      <c r="I21" s="5">
        <f>IF(OR(B21="",H21=""),"",B21*H21)</f>
        <v/>
      </c>
      <c r="J21" s="2" t="inlineStr">
        <is>
          <t>FALTA</t>
        </is>
      </c>
    </row>
    <row r="22">
      <c r="A22" s="17" t="inlineStr">
        <is>
          <t>Herrajes, cierres, forro, hilo — Gauchita</t>
        </is>
      </c>
      <c r="B22" s="15" t="n"/>
      <c r="C22" s="18" t="n"/>
      <c r="D22" s="18" t="n"/>
      <c r="E22" s="18" t="inlineStr">
        <is>
          <t>x</t>
        </is>
      </c>
      <c r="F22" s="19" t="n">
        <v>1</v>
      </c>
      <c r="G22" s="5">
        <f>IF(B22="","",B22*IF(F22="",1,F22))</f>
        <v/>
      </c>
      <c r="H22" s="20" t="n"/>
      <c r="I22" s="5">
        <f>IF(OR(B22="",H22=""),"",B22*H22)</f>
        <v/>
      </c>
      <c r="J22" s="2" t="inlineStr">
        <is>
          <t>FALTA</t>
        </is>
      </c>
    </row>
    <row r="23">
      <c r="A23" s="17" t="n"/>
      <c r="B23" s="15" t="n"/>
      <c r="C23" s="18" t="n"/>
      <c r="D23" s="18" t="n"/>
      <c r="E23" s="18" t="n"/>
      <c r="F23" s="19" t="n"/>
      <c r="G23" s="5">
        <f>IF(B23="","",B23*IF(F23="",1,F23))</f>
        <v/>
      </c>
      <c r="H23" s="20" t="n"/>
      <c r="I23" s="5">
        <f>IF(OR(B23="",H23=""),"",B23*H23)</f>
        <v/>
      </c>
      <c r="J23" s="2" t="n"/>
    </row>
    <row r="24">
      <c r="A24" s="17" t="n"/>
      <c r="B24" s="15" t="n"/>
      <c r="C24" s="18" t="n"/>
      <c r="D24" s="18" t="n"/>
      <c r="E24" s="18" t="n"/>
      <c r="F24" s="19" t="n"/>
      <c r="G24" s="5">
        <f>IF(B24="","",B24*IF(F24="",1,F24))</f>
        <v/>
      </c>
      <c r="H24" s="20" t="n"/>
      <c r="I24" s="5">
        <f>IF(OR(B24="",H24=""),"",B24*H24)</f>
        <v/>
      </c>
      <c r="J24" s="2" t="n"/>
    </row>
    <row r="25">
      <c r="A25" s="17" t="n"/>
      <c r="B25" s="15" t="n"/>
      <c r="C25" s="18" t="n"/>
      <c r="D25" s="18" t="n"/>
      <c r="E25" s="18" t="n"/>
      <c r="F25" s="19" t="n"/>
      <c r="G25" s="5">
        <f>IF(B25="","",B25*IF(F25="",1,F25))</f>
        <v/>
      </c>
      <c r="H25" s="20" t="n"/>
      <c r="I25" s="5">
        <f>IF(OR(B25="",H25=""),"",B25*H25)</f>
        <v/>
      </c>
      <c r="J25" s="2" t="n"/>
    </row>
    <row r="26">
      <c r="A26" s="17" t="n"/>
      <c r="B26" s="15" t="n"/>
      <c r="C26" s="18" t="n"/>
      <c r="D26" s="18" t="n"/>
      <c r="E26" s="18" t="n"/>
      <c r="F26" s="19" t="n"/>
      <c r="G26" s="5">
        <f>IF(B26="","",B26*IF(F26="",1,F26))</f>
        <v/>
      </c>
      <c r="H26" s="20" t="n"/>
      <c r="I26" s="5">
        <f>IF(OR(B26="",H26=""),"",B26*H26)</f>
        <v/>
      </c>
      <c r="J26" s="2" t="n"/>
    </row>
    <row r="27">
      <c r="A27" s="17" t="n"/>
      <c r="B27" s="15" t="n"/>
      <c r="C27" s="18" t="n"/>
      <c r="D27" s="18" t="n"/>
      <c r="E27" s="18" t="n"/>
      <c r="F27" s="19" t="n"/>
      <c r="G27" s="5">
        <f>IF(B27="","",B27*IF(F27="",1,F27))</f>
        <v/>
      </c>
      <c r="H27" s="20" t="n"/>
      <c r="I27" s="5">
        <f>IF(OR(B27="",H27=""),"",B27*H27)</f>
        <v/>
      </c>
      <c r="J27" s="2" t="n"/>
    </row>
    <row r="28">
      <c r="A28" s="17" t="n"/>
      <c r="B28" s="15" t="n"/>
      <c r="C28" s="18" t="n"/>
      <c r="D28" s="18" t="n"/>
      <c r="E28" s="18" t="n"/>
      <c r="F28" s="19" t="n"/>
      <c r="G28" s="5">
        <f>IF(B28="","",B28*IF(F28="",1,F28))</f>
        <v/>
      </c>
      <c r="H28" s="20" t="n"/>
      <c r="I28" s="5">
        <f>IF(OR(B28="",H28=""),"",B28*H28)</f>
        <v/>
      </c>
      <c r="J28" s="2" t="n"/>
    </row>
    <row r="29">
      <c r="A29" s="17" t="n"/>
      <c r="B29" s="15" t="n"/>
      <c r="C29" s="18" t="n"/>
      <c r="D29" s="18" t="n"/>
      <c r="E29" s="18" t="n"/>
      <c r="F29" s="19" t="n"/>
      <c r="G29" s="5">
        <f>IF(B29="","",B29*IF(F29="",1,F29))</f>
        <v/>
      </c>
      <c r="H29" s="20" t="n"/>
      <c r="I29" s="5">
        <f>IF(OR(B29="",H29=""),"",B29*H29)</f>
        <v/>
      </c>
      <c r="J29" s="2" t="n"/>
    </row>
    <row r="30">
      <c r="A30" s="17" t="n"/>
      <c r="B30" s="15" t="n"/>
      <c r="C30" s="18" t="n"/>
      <c r="D30" s="18" t="n"/>
      <c r="E30" s="18" t="n"/>
      <c r="F30" s="19" t="n"/>
      <c r="G30" s="5">
        <f>IF(B30="","",B30*IF(F30="",1,F30))</f>
        <v/>
      </c>
      <c r="H30" s="20" t="n"/>
      <c r="I30" s="5">
        <f>IF(OR(B30="",H30=""),"",B30*H30)</f>
        <v/>
      </c>
      <c r="J30" s="2" t="n"/>
    </row>
    <row r="31">
      <c r="A31" s="17" t="n"/>
      <c r="B31" s="15" t="n"/>
      <c r="C31" s="18" t="n"/>
      <c r="D31" s="18" t="n"/>
      <c r="E31" s="18" t="n"/>
      <c r="F31" s="19" t="n"/>
      <c r="G31" s="5">
        <f>IF(B31="","",B31*IF(F31="",1,F31))</f>
        <v/>
      </c>
      <c r="H31" s="20" t="n"/>
      <c r="I31" s="5">
        <f>IF(OR(B31="",H31=""),"",B31*H31)</f>
        <v/>
      </c>
      <c r="J31" s="2" t="n"/>
    </row>
    <row r="32">
      <c r="A32" s="17" t="n"/>
      <c r="B32" s="15" t="n"/>
      <c r="C32" s="18" t="n"/>
      <c r="D32" s="18" t="n"/>
      <c r="E32" s="18" t="n"/>
      <c r="F32" s="19" t="n"/>
      <c r="G32" s="5">
        <f>IF(B32="","",B32*IF(F32="",1,F32))</f>
        <v/>
      </c>
      <c r="H32" s="20" t="n"/>
      <c r="I32" s="5">
        <f>IF(OR(B32="",H32=""),"",B32*H32)</f>
        <v/>
      </c>
      <c r="J32" s="2" t="n"/>
    </row>
    <row r="33">
      <c r="A33" s="17" t="n"/>
      <c r="B33" s="15" t="n"/>
      <c r="C33" s="18" t="n"/>
      <c r="D33" s="18" t="n"/>
      <c r="E33" s="18" t="n"/>
      <c r="F33" s="19" t="n"/>
      <c r="G33" s="5">
        <f>IF(B33="","",B33*IF(F33="",1,F33))</f>
        <v/>
      </c>
      <c r="H33" s="20" t="n"/>
      <c r="I33" s="5">
        <f>IF(OR(B33="",H33=""),"",B33*H33)</f>
        <v/>
      </c>
      <c r="J33" s="2" t="n"/>
    </row>
    <row r="34">
      <c r="A34" s="17" t="n"/>
      <c r="B34" s="15" t="n"/>
      <c r="C34" s="18" t="n"/>
      <c r="D34" s="18" t="n"/>
      <c r="E34" s="18" t="n"/>
      <c r="F34" s="19" t="n"/>
      <c r="G34" s="5">
        <f>IF(B34="","",B34*IF(F34="",1,F34))</f>
        <v/>
      </c>
      <c r="H34" s="20" t="n"/>
      <c r="I34" s="5">
        <f>IF(OR(B34="",H34=""),"",B34*H34)</f>
        <v/>
      </c>
      <c r="J34" s="2" t="n"/>
    </row>
    <row r="35">
      <c r="A35" s="17" t="n"/>
      <c r="B35" s="15" t="n"/>
      <c r="C35" s="18" t="n"/>
      <c r="D35" s="18" t="n"/>
      <c r="E35" s="18" t="n"/>
      <c r="F35" s="19" t="n"/>
      <c r="G35" s="5">
        <f>IF(B35="","",B35*IF(F35="",1,F35))</f>
        <v/>
      </c>
      <c r="H35" s="20" t="n"/>
      <c r="I35" s="5">
        <f>IF(OR(B35="",H35=""),"",B35*H35)</f>
        <v/>
      </c>
      <c r="J35" s="2" t="n"/>
    </row>
    <row r="36">
      <c r="A36" s="17" t="n"/>
      <c r="B36" s="15" t="n"/>
      <c r="C36" s="18" t="n"/>
      <c r="D36" s="18" t="n"/>
      <c r="E36" s="18" t="n"/>
      <c r="F36" s="19" t="n"/>
      <c r="G36" s="5">
        <f>IF(B36="","",B36*IF(F36="",1,F36))</f>
        <v/>
      </c>
      <c r="H36" s="20" t="n"/>
      <c r="I36" s="5">
        <f>IF(OR(B36="",H36=""),"",B36*H36)</f>
        <v/>
      </c>
      <c r="J36" s="2" t="n"/>
    </row>
    <row r="37">
      <c r="A37" s="17" t="n"/>
      <c r="B37" s="15" t="n"/>
      <c r="C37" s="18" t="n"/>
      <c r="D37" s="18" t="n"/>
      <c r="E37" s="18" t="n"/>
      <c r="F37" s="19" t="n"/>
      <c r="G37" s="5">
        <f>IF(B37="","",B37*IF(F37="",1,F37))</f>
        <v/>
      </c>
      <c r="H37" s="20" t="n"/>
      <c r="I37" s="5">
        <f>IF(OR(B37="",H37=""),"",B37*H37)</f>
        <v/>
      </c>
      <c r="J37" s="2" t="n"/>
    </row>
    <row r="38">
      <c r="A38" s="17" t="n"/>
      <c r="B38" s="15" t="n"/>
      <c r="C38" s="18" t="n"/>
      <c r="D38" s="18" t="n"/>
      <c r="E38" s="18" t="n"/>
      <c r="F38" s="19" t="n"/>
      <c r="G38" s="5">
        <f>IF(B38="","",B38*IF(F38="",1,F38))</f>
        <v/>
      </c>
      <c r="H38" s="20" t="n"/>
      <c r="I38" s="5">
        <f>IF(OR(B38="",H38=""),"",B38*H38)</f>
        <v/>
      </c>
      <c r="J38" s="2" t="n"/>
    </row>
    <row r="39">
      <c r="A39" s="17" t="n"/>
      <c r="B39" s="15" t="n"/>
      <c r="C39" s="18" t="n"/>
      <c r="D39" s="18" t="n"/>
      <c r="E39" s="18" t="n"/>
      <c r="F39" s="19" t="n"/>
      <c r="G39" s="5">
        <f>IF(B39="","",B39*IF(F39="",1,F39))</f>
        <v/>
      </c>
      <c r="H39" s="20" t="n"/>
      <c r="I39" s="5">
        <f>IF(OR(B39="",H39=""),"",B39*H39)</f>
        <v/>
      </c>
      <c r="J39" s="2" t="n"/>
    </row>
    <row r="40">
      <c r="A40" s="17" t="n"/>
      <c r="B40" s="15" t="n"/>
      <c r="C40" s="18" t="n"/>
      <c r="D40" s="18" t="n"/>
      <c r="E40" s="18" t="n"/>
      <c r="F40" s="19" t="n"/>
      <c r="G40" s="5">
        <f>IF(B40="","",B40*IF(F40="",1,F40))</f>
        <v/>
      </c>
      <c r="H40" s="20" t="n"/>
      <c r="I40" s="5">
        <f>IF(OR(B40="",H40=""),"",B40*H40)</f>
        <v/>
      </c>
      <c r="J40" s="2" t="n"/>
    </row>
    <row r="41">
      <c r="A41" s="17" t="n"/>
      <c r="B41" s="15" t="n"/>
      <c r="C41" s="18" t="n"/>
      <c r="D41" s="18" t="n"/>
      <c r="E41" s="18" t="n"/>
      <c r="F41" s="19" t="n"/>
      <c r="G41" s="5">
        <f>IF(B41="","",B41*IF(F41="",1,F41))</f>
        <v/>
      </c>
      <c r="H41" s="20" t="n"/>
      <c r="I41" s="5">
        <f>IF(OR(B41="",H41=""),"",B41*H41)</f>
        <v/>
      </c>
      <c r="J41" s="2" t="n"/>
    </row>
    <row r="42">
      <c r="A42" s="17" t="n"/>
      <c r="B42" s="15" t="n"/>
      <c r="C42" s="18" t="n"/>
      <c r="D42" s="18" t="n"/>
      <c r="E42" s="18" t="n"/>
      <c r="F42" s="19" t="n"/>
      <c r="G42" s="5">
        <f>IF(B42="","",B42*IF(F42="",1,F42))</f>
        <v/>
      </c>
      <c r="H42" s="20" t="n"/>
      <c r="I42" s="5">
        <f>IF(OR(B42="",H42=""),"",B42*H42)</f>
        <v/>
      </c>
      <c r="J42" s="2" t="n"/>
    </row>
    <row r="43">
      <c r="A43" s="17" t="n"/>
      <c r="B43" s="15" t="n"/>
      <c r="C43" s="18" t="n"/>
      <c r="D43" s="18" t="n"/>
      <c r="E43" s="18" t="n"/>
      <c r="F43" s="19" t="n"/>
      <c r="G43" s="5">
        <f>IF(B43="","",B43*IF(F43="",1,F43))</f>
        <v/>
      </c>
      <c r="H43" s="20" t="n"/>
      <c r="I43" s="5">
        <f>IF(OR(B43="",H43=""),"",B43*H43)</f>
        <v/>
      </c>
      <c r="J43" s="2" t="n"/>
    </row>
    <row r="44">
      <c r="A44" s="17" t="n"/>
      <c r="B44" s="15" t="n"/>
      <c r="C44" s="18" t="n"/>
      <c r="D44" s="18" t="n"/>
      <c r="E44" s="18" t="n"/>
      <c r="F44" s="19" t="n"/>
      <c r="G44" s="5">
        <f>IF(B44="","",B44*IF(F44="",1,F44))</f>
        <v/>
      </c>
      <c r="H44" s="20" t="n"/>
      <c r="I44" s="5">
        <f>IF(OR(B44="",H44=""),"",B44*H44)</f>
        <v/>
      </c>
      <c r="J44" s="2" t="n"/>
    </row>
    <row r="45">
      <c r="A45" s="17" t="n"/>
      <c r="B45" s="15" t="n"/>
      <c r="C45" s="18" t="n"/>
      <c r="D45" s="18" t="n"/>
      <c r="E45" s="18" t="n"/>
      <c r="F45" s="19" t="n"/>
      <c r="G45" s="5">
        <f>IF(B45="","",B45*IF(F45="",1,F45))</f>
        <v/>
      </c>
      <c r="H45" s="20" t="n"/>
      <c r="I45" s="5">
        <f>IF(OR(B45="",H45=""),"",B45*H45)</f>
        <v/>
      </c>
      <c r="J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4" customWidth="1" min="2" max="2"/>
    <col width="9" customWidth="1" min="3" max="3"/>
    <col width="9" customWidth="1" min="4" max="4"/>
    <col width="10" customWidth="1" min="5" max="5"/>
    <col width="14" customWidth="1" min="6" max="6"/>
    <col width="14" customWidth="1" min="7" max="7"/>
    <col width="15" customWidth="1" min="8" max="8"/>
    <col width="36" customWidth="1" min="9" max="9"/>
  </cols>
  <sheetData>
    <row r="1">
      <c r="A1" s="1" t="inlineStr">
        <is>
          <t>Gastos de arranque (se pagan una sola vez)</t>
        </is>
      </c>
    </row>
    <row r="2">
      <c r="A2" s="2" t="inlineStr">
        <is>
          <t>Muestras, moldes, envíos de muestras. Poné una x en los modelos a los que corresponde: se reparte en partes iguales entre ellos.</t>
        </is>
      </c>
    </row>
    <row r="3">
      <c r="A3" s="2" t="inlineStr">
        <is>
          <t>Después se divide por las carteras en que lo querés recuperar (hoja Supuestos).</t>
        </is>
      </c>
    </row>
    <row r="5" ht="32" customHeight="1">
      <c r="A5" s="3" t="inlineStr">
        <is>
          <t>Concepto</t>
        </is>
      </c>
      <c r="B5" s="3" t="inlineStr">
        <is>
          <t>Monto</t>
        </is>
      </c>
      <c r="C5" s="3" t="inlineStr">
        <is>
          <t>Potra</t>
        </is>
      </c>
      <c r="D5" s="3" t="inlineStr">
        <is>
          <t>Criolla</t>
        </is>
      </c>
      <c r="E5" s="3" t="inlineStr">
        <is>
          <t>Gauchita</t>
        </is>
      </c>
      <c r="F5" s="3" t="inlineStr">
        <is>
          <t>Parte Potra</t>
        </is>
      </c>
      <c r="G5" s="3" t="inlineStr">
        <is>
          <t>Parte Criolla</t>
        </is>
      </c>
      <c r="H5" s="3" t="inlineStr">
        <is>
          <t>Parte Gauchita</t>
        </is>
      </c>
      <c r="I5" s="3" t="inlineStr">
        <is>
          <t>Nota</t>
        </is>
      </c>
    </row>
    <row r="6">
      <c r="A6" s="17" t="inlineStr">
        <is>
          <t>2 chapas de cuero para las muestras (≈1,6 m² c/u)</t>
        </is>
      </c>
      <c r="B6" s="15" t="n">
        <v>95000</v>
      </c>
      <c r="C6" s="18" t="inlineStr">
        <is>
          <t>x</t>
        </is>
      </c>
      <c r="D6" s="18" t="inlineStr">
        <is>
          <t>x</t>
        </is>
      </c>
      <c r="E6" s="18" t="inlineStr">
        <is>
          <t>x</t>
        </is>
      </c>
      <c r="F6" s="5">
        <f>IF(OR($B6="",C6&lt;&gt;"x"),0,$B6/COUNTIF($C6:$E6,"x"))</f>
        <v/>
      </c>
      <c r="G6" s="5">
        <f>IF(OR($B6="",D6&lt;&gt;"x"),0,$B6/COUNTIF($C6:$E6,"x"))</f>
        <v/>
      </c>
      <c r="H6" s="5">
        <f>IF(OR($B6="",E6&lt;&gt;"x"),0,$B6/COUNTIF($C6:$E6,"x"))</f>
        <v/>
      </c>
      <c r="I6" s="2" t="inlineStr">
        <is>
          <t>Con eso se hicieron las 3 muestras.</t>
        </is>
      </c>
    </row>
    <row r="7">
      <c r="A7" s="17" t="inlineStr">
        <is>
          <t>Muestra en friselina (las 3)</t>
        </is>
      </c>
      <c r="B7" s="15" t="n">
        <v>100000</v>
      </c>
      <c r="C7" s="18" t="inlineStr">
        <is>
          <t>x</t>
        </is>
      </c>
      <c r="D7" s="18" t="inlineStr">
        <is>
          <t>x</t>
        </is>
      </c>
      <c r="E7" s="18" t="inlineStr">
        <is>
          <t>x</t>
        </is>
      </c>
      <c r="F7" s="5">
        <f>IF(OR($B7="",C7&lt;&gt;"x"),0,$B7/COUNTIF($C7:$E7,"x"))</f>
        <v/>
      </c>
      <c r="G7" s="5">
        <f>IF(OR($B7="",D7&lt;&gt;"x"),0,$B7/COUNTIF($C7:$E7,"x"))</f>
        <v/>
      </c>
      <c r="H7" s="5">
        <f>IF(OR($B7="",E7&lt;&gt;"x"),0,$B7/COUNTIF($C7:$E7,"x"))</f>
        <v/>
      </c>
      <c r="I7" s="2" t="n"/>
    </row>
    <row r="8">
      <c r="A8" s="17" t="inlineStr">
        <is>
          <t>Envío muestras friselina</t>
        </is>
      </c>
      <c r="B8" s="15" t="n">
        <v>40000</v>
      </c>
      <c r="C8" s="18" t="inlineStr">
        <is>
          <t>x</t>
        </is>
      </c>
      <c r="D8" s="18" t="inlineStr">
        <is>
          <t>x</t>
        </is>
      </c>
      <c r="E8" s="18" t="inlineStr">
        <is>
          <t>x</t>
        </is>
      </c>
      <c r="F8" s="5">
        <f>IF(OR($B8="",C8&lt;&gt;"x"),0,$B8/COUNTIF($C8:$E8,"x"))</f>
        <v/>
      </c>
      <c r="G8" s="5">
        <f>IF(OR($B8="",D8&lt;&gt;"x"),0,$B8/COUNTIF($C8:$E8,"x"))</f>
        <v/>
      </c>
      <c r="H8" s="5">
        <f>IF(OR($B8="",E8&lt;&gt;"x"),0,$B8/COUNTIF($C8:$E8,"x"))</f>
        <v/>
      </c>
      <c r="I8" s="2" t="inlineStr">
        <is>
          <t>Se cobra a las 3 por igual.</t>
        </is>
      </c>
    </row>
    <row r="9">
      <c r="A9" s="17" t="inlineStr">
        <is>
          <t>Envío trenzador</t>
        </is>
      </c>
      <c r="B9" s="15" t="n">
        <v>30000</v>
      </c>
      <c r="C9" s="18" t="n"/>
      <c r="D9" s="18" t="inlineStr">
        <is>
          <t>x</t>
        </is>
      </c>
      <c r="E9" s="18" t="inlineStr">
        <is>
          <t>x</t>
        </is>
      </c>
      <c r="F9" s="5">
        <f>IF(OR($B9="",C9&lt;&gt;"x"),0,$B9/COUNTIF($C9:$E9,"x"))</f>
        <v/>
      </c>
      <c r="G9" s="5">
        <f>IF(OR($B9="",D9&lt;&gt;"x"),0,$B9/COUNTIF($C9:$E9,"x"))</f>
        <v/>
      </c>
      <c r="H9" s="5">
        <f>IF(OR($B9="",E9&lt;&gt;"x"),0,$B9/COUNTIF($C9:$E9,"x"))</f>
        <v/>
      </c>
      <c r="I9" s="2" t="inlineStr">
        <is>
          <t>Solo a las que llevan trenzado.</t>
        </is>
      </c>
    </row>
    <row r="10">
      <c r="A10" s="17" t="inlineStr">
        <is>
          <t>Molde / muestra: mano de obra cuero y molde papel — Potra</t>
        </is>
      </c>
      <c r="B10" s="15" t="n">
        <v>50000</v>
      </c>
      <c r="C10" s="18" t="inlineStr">
        <is>
          <t>x</t>
        </is>
      </c>
      <c r="D10" s="18" t="n"/>
      <c r="E10" s="18" t="n"/>
      <c r="F10" s="5">
        <f>IF(OR($B10="",C10&lt;&gt;"x"),0,$B10/COUNTIF($C10:$E10,"x"))</f>
        <v/>
      </c>
      <c r="G10" s="5">
        <f>IF(OR($B10="",D10&lt;&gt;"x"),0,$B10/COUNTIF($C10:$E10,"x"))</f>
        <v/>
      </c>
      <c r="H10" s="5">
        <f>IF(OR($B10="",E10&lt;&gt;"x"),0,$B10/COUNTIF($C10:$E10,"x"))</f>
        <v/>
      </c>
      <c r="I10" s="2" t="n"/>
    </row>
    <row r="11">
      <c r="A11" s="17" t="inlineStr">
        <is>
          <t>Molde / muestra: mano de obra cuero y molde papel — Criolla</t>
        </is>
      </c>
      <c r="B11" s="15" t="n">
        <v>50000</v>
      </c>
      <c r="C11" s="18" t="n"/>
      <c r="D11" s="18" t="inlineStr">
        <is>
          <t>x</t>
        </is>
      </c>
      <c r="E11" s="18" t="n"/>
      <c r="F11" s="5">
        <f>IF(OR($B11="",C11&lt;&gt;"x"),0,$B11/COUNTIF($C11:$E11,"x"))</f>
        <v/>
      </c>
      <c r="G11" s="5">
        <f>IF(OR($B11="",D11&lt;&gt;"x"),0,$B11/COUNTIF($C11:$E11,"x"))</f>
        <v/>
      </c>
      <c r="H11" s="5">
        <f>IF(OR($B11="",E11&lt;&gt;"x"),0,$B11/COUNTIF($C11:$E11,"x"))</f>
        <v/>
      </c>
      <c r="I11" s="2" t="n"/>
    </row>
    <row r="12">
      <c r="A12" s="17" t="inlineStr">
        <is>
          <t>Molde / muestra: mano de obra cuero y molde papel — Gauchita</t>
        </is>
      </c>
      <c r="B12" s="15" t="n">
        <v>50000</v>
      </c>
      <c r="C12" s="18" t="n"/>
      <c r="D12" s="18" t="n"/>
      <c r="E12" s="18" t="inlineStr">
        <is>
          <t>x</t>
        </is>
      </c>
      <c r="F12" s="5">
        <f>IF(OR($B12="",C12&lt;&gt;"x"),0,$B12/COUNTIF($C12:$E12,"x"))</f>
        <v/>
      </c>
      <c r="G12" s="5">
        <f>IF(OR($B12="",D12&lt;&gt;"x"),0,$B12/COUNTIF($C12:$E12,"x"))</f>
        <v/>
      </c>
      <c r="H12" s="5">
        <f>IF(OR($B12="",E12&lt;&gt;"x"),0,$B12/COUNTIF($C12:$E12,"x"))</f>
        <v/>
      </c>
      <c r="I12" s="2" t="n"/>
    </row>
    <row r="13">
      <c r="A13" s="17" t="n"/>
      <c r="B13" s="15" t="n"/>
      <c r="C13" s="18" t="n"/>
      <c r="D13" s="18" t="n"/>
      <c r="E13" s="18" t="n"/>
      <c r="F13" s="5">
        <f>IF(OR($B13="",C13&lt;&gt;"x"),0,$B13/COUNTIF($C13:$E13,"x"))</f>
        <v/>
      </c>
      <c r="G13" s="5">
        <f>IF(OR($B13="",D13&lt;&gt;"x"),0,$B13/COUNTIF($C13:$E13,"x"))</f>
        <v/>
      </c>
      <c r="H13" s="5">
        <f>IF(OR($B13="",E13&lt;&gt;"x"),0,$B13/COUNTIF($C13:$E13,"x"))</f>
        <v/>
      </c>
      <c r="I13" s="2" t="n"/>
    </row>
    <row r="14">
      <c r="A14" s="17" t="n"/>
      <c r="B14" s="15" t="n"/>
      <c r="C14" s="18" t="n"/>
      <c r="D14" s="18" t="n"/>
      <c r="E14" s="18" t="n"/>
      <c r="F14" s="5">
        <f>IF(OR($B14="",C14&lt;&gt;"x"),0,$B14/COUNTIF($C14:$E14,"x"))</f>
        <v/>
      </c>
      <c r="G14" s="5">
        <f>IF(OR($B14="",D14&lt;&gt;"x"),0,$B14/COUNTIF($C14:$E14,"x"))</f>
        <v/>
      </c>
      <c r="H14" s="5">
        <f>IF(OR($B14="",E14&lt;&gt;"x"),0,$B14/COUNTIF($C14:$E14,"x"))</f>
        <v/>
      </c>
      <c r="I14" s="2" t="n"/>
    </row>
    <row r="15">
      <c r="A15" s="17" t="n"/>
      <c r="B15" s="15" t="n"/>
      <c r="C15" s="18" t="n"/>
      <c r="D15" s="18" t="n"/>
      <c r="E15" s="18" t="n"/>
      <c r="F15" s="5">
        <f>IF(OR($B15="",C15&lt;&gt;"x"),0,$B15/COUNTIF($C15:$E15,"x"))</f>
        <v/>
      </c>
      <c r="G15" s="5">
        <f>IF(OR($B15="",D15&lt;&gt;"x"),0,$B15/COUNTIF($C15:$E15,"x"))</f>
        <v/>
      </c>
      <c r="H15" s="5">
        <f>IF(OR($B15="",E15&lt;&gt;"x"),0,$B15/COUNTIF($C15:$E15,"x"))</f>
        <v/>
      </c>
      <c r="I15" s="2" t="n"/>
    </row>
    <row r="16">
      <c r="A16" s="17" t="n"/>
      <c r="B16" s="15" t="n"/>
      <c r="C16" s="18" t="n"/>
      <c r="D16" s="18" t="n"/>
      <c r="E16" s="18" t="n"/>
      <c r="F16" s="5">
        <f>IF(OR($B16="",C16&lt;&gt;"x"),0,$B16/COUNTIF($C16:$E16,"x"))</f>
        <v/>
      </c>
      <c r="G16" s="5">
        <f>IF(OR($B16="",D16&lt;&gt;"x"),0,$B16/COUNTIF($C16:$E16,"x"))</f>
        <v/>
      </c>
      <c r="H16" s="5">
        <f>IF(OR($B16="",E16&lt;&gt;"x"),0,$B16/COUNTIF($C16:$E16,"x"))</f>
        <v/>
      </c>
      <c r="I16" s="2" t="n"/>
    </row>
    <row r="17">
      <c r="A17" s="17" t="n"/>
      <c r="B17" s="15" t="n"/>
      <c r="C17" s="18" t="n"/>
      <c r="D17" s="18" t="n"/>
      <c r="E17" s="18" t="n"/>
      <c r="F17" s="5">
        <f>IF(OR($B17="",C17&lt;&gt;"x"),0,$B17/COUNTIF($C17:$E17,"x"))</f>
        <v/>
      </c>
      <c r="G17" s="5">
        <f>IF(OR($B17="",D17&lt;&gt;"x"),0,$B17/COUNTIF($C17:$E17,"x"))</f>
        <v/>
      </c>
      <c r="H17" s="5">
        <f>IF(OR($B17="",E17&lt;&gt;"x"),0,$B17/COUNTIF($C17:$E17,"x"))</f>
        <v/>
      </c>
      <c r="I17" s="2" t="n"/>
    </row>
    <row r="18">
      <c r="A18" s="17" t="n"/>
      <c r="B18" s="15" t="n"/>
      <c r="C18" s="18" t="n"/>
      <c r="D18" s="18" t="n"/>
      <c r="E18" s="18" t="n"/>
      <c r="F18" s="5">
        <f>IF(OR($B18="",C18&lt;&gt;"x"),0,$B18/COUNTIF($C18:$E18,"x"))</f>
        <v/>
      </c>
      <c r="G18" s="5">
        <f>IF(OR($B18="",D18&lt;&gt;"x"),0,$B18/COUNTIF($C18:$E18,"x"))</f>
        <v/>
      </c>
      <c r="H18" s="5">
        <f>IF(OR($B18="",E18&lt;&gt;"x"),0,$B18/COUNTIF($C18:$E18,"x"))</f>
        <v/>
      </c>
      <c r="I18" s="2" t="n"/>
    </row>
    <row r="19">
      <c r="A19" s="17" t="n"/>
      <c r="B19" s="15" t="n"/>
      <c r="C19" s="18" t="n"/>
      <c r="D19" s="18" t="n"/>
      <c r="E19" s="18" t="n"/>
      <c r="F19" s="5">
        <f>IF(OR($B19="",C19&lt;&gt;"x"),0,$B19/COUNTIF($C19:$E19,"x"))</f>
        <v/>
      </c>
      <c r="G19" s="5">
        <f>IF(OR($B19="",D19&lt;&gt;"x"),0,$B19/COUNTIF($C19:$E19,"x"))</f>
        <v/>
      </c>
      <c r="H19" s="5">
        <f>IF(OR($B19="",E19&lt;&gt;"x"),0,$B19/COUNTIF($C19:$E19,"x"))</f>
        <v/>
      </c>
      <c r="I19" s="2" t="n"/>
    </row>
    <row r="20">
      <c r="A20" s="17" t="n"/>
      <c r="B20" s="15" t="n"/>
      <c r="C20" s="18" t="n"/>
      <c r="D20" s="18" t="n"/>
      <c r="E20" s="18" t="n"/>
      <c r="F20" s="5">
        <f>IF(OR($B20="",C20&lt;&gt;"x"),0,$B20/COUNTIF($C20:$E20,"x"))</f>
        <v/>
      </c>
      <c r="G20" s="5">
        <f>IF(OR($B20="",D20&lt;&gt;"x"),0,$B20/COUNTIF($C20:$E20,"x"))</f>
        <v/>
      </c>
      <c r="H20" s="5">
        <f>IF(OR($B20="",E20&lt;&gt;"x"),0,$B20/COUNTIF($C20:$E20,"x"))</f>
        <v/>
      </c>
      <c r="I20" s="2" t="n"/>
    </row>
    <row r="21">
      <c r="A21" s="17" t="n"/>
      <c r="B21" s="15" t="n"/>
      <c r="C21" s="18" t="n"/>
      <c r="D21" s="18" t="n"/>
      <c r="E21" s="18" t="n"/>
      <c r="F21" s="5">
        <f>IF(OR($B21="",C21&lt;&gt;"x"),0,$B21/COUNTIF($C21:$E21,"x"))</f>
        <v/>
      </c>
      <c r="G21" s="5">
        <f>IF(OR($B21="",D21&lt;&gt;"x"),0,$B21/COUNTIF($C21:$E21,"x"))</f>
        <v/>
      </c>
      <c r="H21" s="5">
        <f>IF(OR($B21="",E21&lt;&gt;"x"),0,$B21/COUNTIF($C21:$E21,"x"))</f>
        <v/>
      </c>
      <c r="I21" s="2" t="n"/>
    </row>
    <row r="22">
      <c r="A22" s="17" t="n"/>
      <c r="B22" s="15" t="n"/>
      <c r="C22" s="18" t="n"/>
      <c r="D22" s="18" t="n"/>
      <c r="E22" s="18" t="n"/>
      <c r="F22" s="5">
        <f>IF(OR($B22="",C22&lt;&gt;"x"),0,$B22/COUNTIF($C22:$E22,"x"))</f>
        <v/>
      </c>
      <c r="G22" s="5">
        <f>IF(OR($B22="",D22&lt;&gt;"x"),0,$B22/COUNTIF($C22:$E22,"x"))</f>
        <v/>
      </c>
      <c r="H22" s="5">
        <f>IF(OR($B22="",E22&lt;&gt;"x"),0,$B22/COUNTIF($C22:$E22,"x"))</f>
        <v/>
      </c>
      <c r="I22" s="2" t="n"/>
    </row>
    <row r="23">
      <c r="A23" s="17" t="n"/>
      <c r="B23" s="15" t="n"/>
      <c r="C23" s="18" t="n"/>
      <c r="D23" s="18" t="n"/>
      <c r="E23" s="18" t="n"/>
      <c r="F23" s="5">
        <f>IF(OR($B23="",C23&lt;&gt;"x"),0,$B23/COUNTIF($C23:$E23,"x"))</f>
        <v/>
      </c>
      <c r="G23" s="5">
        <f>IF(OR($B23="",D23&lt;&gt;"x"),0,$B23/COUNTIF($C23:$E23,"x"))</f>
        <v/>
      </c>
      <c r="H23" s="5">
        <f>IF(OR($B23="",E23&lt;&gt;"x"),0,$B23/COUNTIF($C23:$E23,"x"))</f>
        <v/>
      </c>
      <c r="I23" s="2" t="n"/>
    </row>
    <row r="24">
      <c r="A24" s="17" t="n"/>
      <c r="B24" s="15" t="n"/>
      <c r="C24" s="18" t="n"/>
      <c r="D24" s="18" t="n"/>
      <c r="E24" s="18" t="n"/>
      <c r="F24" s="5">
        <f>IF(OR($B24="",C24&lt;&gt;"x"),0,$B24/COUNTIF($C24:$E24,"x"))</f>
        <v/>
      </c>
      <c r="G24" s="5">
        <f>IF(OR($B24="",D24&lt;&gt;"x"),0,$B24/COUNTIF($C24:$E24,"x"))</f>
        <v/>
      </c>
      <c r="H24" s="5">
        <f>IF(OR($B24="",E24&lt;&gt;"x"),0,$B24/COUNTIF($C24:$E24,"x"))</f>
        <v/>
      </c>
      <c r="I24" s="2" t="n"/>
    </row>
    <row r="25">
      <c r="A25" s="17" t="n"/>
      <c r="B25" s="15" t="n"/>
      <c r="C25" s="18" t="n"/>
      <c r="D25" s="18" t="n"/>
      <c r="E25" s="18" t="n"/>
      <c r="F25" s="5">
        <f>IF(OR($B25="",C25&lt;&gt;"x"),0,$B25/COUNTIF($C25:$E25,"x"))</f>
        <v/>
      </c>
      <c r="G25" s="5">
        <f>IF(OR($B25="",D25&lt;&gt;"x"),0,$B25/COUNTIF($C25:$E25,"x"))</f>
        <v/>
      </c>
      <c r="H25" s="5">
        <f>IF(OR($B25="",E25&lt;&gt;"x"),0,$B25/COUNTIF($C25:$E25,"x"))</f>
        <v/>
      </c>
      <c r="I2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40" customWidth="1" min="3" max="3"/>
  </cols>
  <sheetData>
    <row r="1">
      <c r="A1" s="1" t="inlineStr">
        <is>
          <t>Gastos fijos del mes</t>
        </is>
      </c>
    </row>
    <row r="2">
      <c r="A2" s="2" t="inlineStr">
        <is>
          <t>Lo que pagás todos los meses. Se reparte entre las carteras que vendés por mes (hoja Supuestos).</t>
        </is>
      </c>
    </row>
    <row r="5" ht="32" customHeight="1">
      <c r="A5" s="3" t="inlineStr">
        <is>
          <t>Concepto</t>
        </is>
      </c>
      <c r="B5" s="3" t="inlineStr">
        <is>
          <t>Por mes</t>
        </is>
      </c>
      <c r="C5" s="3" t="inlineStr">
        <is>
          <t>Nota</t>
        </is>
      </c>
    </row>
    <row r="6">
      <c r="A6" s="17" t="inlineStr">
        <is>
          <t>Monotributo</t>
        </is>
      </c>
      <c r="B6" s="15" t="n">
        <v>10000</v>
      </c>
      <c r="C6" s="2" t="n"/>
    </row>
    <row r="7">
      <c r="A7" s="17" t="inlineStr">
        <is>
          <t>Plan Tiendanube</t>
        </is>
      </c>
      <c r="B7" s="15" t="n">
        <v>28000</v>
      </c>
      <c r="C7" s="2" t="n"/>
    </row>
    <row r="8">
      <c r="A8" s="17" t="n"/>
      <c r="B8" s="15" t="n"/>
      <c r="C8" s="2" t="n"/>
    </row>
    <row r="9">
      <c r="A9" s="17" t="n"/>
      <c r="B9" s="15" t="n"/>
      <c r="C9" s="2" t="n"/>
    </row>
    <row r="10">
      <c r="A10" s="17" t="n"/>
      <c r="B10" s="15" t="n"/>
      <c r="C10" s="2" t="n"/>
    </row>
    <row r="11">
      <c r="A11" s="17" t="n"/>
      <c r="B11" s="15" t="n"/>
      <c r="C11" s="2" t="n"/>
    </row>
    <row r="12">
      <c r="A12" s="17" t="n"/>
      <c r="B12" s="15" t="n"/>
      <c r="C12" s="2" t="n"/>
    </row>
    <row r="13">
      <c r="A13" s="17" t="n"/>
      <c r="B13" s="15" t="n"/>
      <c r="C13" s="2" t="n"/>
    </row>
    <row r="14">
      <c r="A14" s="17" t="n"/>
      <c r="B14" s="15" t="n"/>
      <c r="C14" s="2" t="n"/>
    </row>
    <row r="15">
      <c r="A15" s="17" t="n"/>
      <c r="B15" s="15" t="n"/>
      <c r="C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2026-09-30T20:21:13Z</dcterms:created>
  <dcterms:modified xsi:type="dcterms:W3CDTF">2026-09-30T20:21:13Z</dcterms:modified>
</cp:coreProperties>
</file>