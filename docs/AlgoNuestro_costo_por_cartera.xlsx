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cartera" sheetId="1" state="visible" r:id="rId1"/>
    <sheet name="Supuestos" sheetId="2" state="visible" r:id="rId2"/>
    <sheet name="Compras" sheetId="3" state="visible" r:id="rId3"/>
    <sheet name="Muestras y moldes" sheetId="4" state="visible" r:id="rId4"/>
    <sheet name="Fijos del m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 &quot;#,##0;-&quot;$ &quot;#,##0;&quot;-&quot;"/>
  </numFmts>
  <fonts count="8">
    <font>
      <name val="Calibri"/>
      <family val="2"/>
      <color theme="1"/>
      <sz val="11"/>
      <scheme val="minor"/>
    </font>
    <font>
      <name val="Arial"/>
      <b val="1"/>
      <color rgb="005C3427"/>
      <sz val="14"/>
    </font>
    <font>
      <name val="Arial"/>
      <i val="1"/>
      <color rgb="008A6A5E"/>
      <sz val="9"/>
    </font>
    <font>
      <name val="Arial"/>
      <b val="1"/>
      <color rgb="00F4EFE4"/>
    </font>
    <font>
      <name val="Arial"/>
    </font>
    <font>
      <name val="Arial"/>
      <color rgb="000000FF"/>
    </font>
    <font>
      <name val="Arial"/>
      <b val="1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5C3427"/>
      </patternFill>
    </fill>
    <fill>
      <patternFill patternType="solid">
        <fgColor rgb="00FFF3B0"/>
      </patternFill>
    </fill>
    <fill>
      <patternFill patternType="solid">
        <fgColor rgb="00F4EFE4"/>
      </patternFill>
    </fill>
    <fill>
      <patternFill patternType="solid">
        <fgColor rgb="006C21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65" fontId="4" fillId="0" borderId="0" pivotButton="0" quotePrefix="0" xfId="0"/>
    <xf numFmtId="0" fontId="4" fillId="4" borderId="0" pivotButton="0" quotePrefix="0" xfId="0"/>
    <xf numFmtId="165" fontId="4" fillId="4" borderId="0" pivotButton="0" quotePrefix="0" xfId="0"/>
    <xf numFmtId="0" fontId="4" fillId="3" borderId="0" pivotButton="0" quotePrefix="0" xfId="0"/>
    <xf numFmtId="165" fontId="5" fillId="3" borderId="0" pivotButton="0" quotePrefix="0" xfId="0"/>
    <xf numFmtId="0" fontId="7" fillId="5" borderId="0" pivotButton="0" quotePrefix="0" xfId="0"/>
    <xf numFmtId="165" fontId="7" fillId="5" borderId="0" pivotButton="0" quotePrefix="0" xfId="0"/>
    <xf numFmtId="0" fontId="6" fillId="0" borderId="0" pivotButton="0" quotePrefix="0" xfId="0"/>
    <xf numFmtId="165" fontId="6" fillId="0" borderId="0" pivotButton="0" quotePrefix="0" xfId="0"/>
    <xf numFmtId="164" fontId="4" fillId="0" borderId="0" pivotButton="0" quotePrefix="0" xfId="0"/>
    <xf numFmtId="0" fontId="5" fillId="3" borderId="0" pivotButton="0" quotePrefix="0" xfId="0"/>
    <xf numFmtId="164" fontId="5" fillId="3" borderId="0" pivotButton="0" quotePrefix="0" xfId="0"/>
    <xf numFmtId="164" fontId="6" fillId="0" borderId="0" pivotButton="0" quotePrefix="0" xfId="0"/>
    <xf numFmtId="3" fontId="5" fillId="3" borderId="0" pivotButton="0" quotePrefix="0" xfId="0"/>
    <xf numFmtId="3" fontId="4" fillId="0" borderId="0" pivotButton="0" quotePrefix="0" xfId="0"/>
    <xf numFmtId="3" fontId="4" fillId="4" borderId="0" pivotButton="0" quotePrefix="0" xfId="0"/>
    <xf numFmtId="0" fontId="0" fillId="5" borderId="0" pivotButton="0" quotePrefix="0" xfId="0"/>
    <xf numFmtId="1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Claude</author>
  </authors>
  <commentList>
    <comment ref="A9" authorId="0" shapeId="0">
      <text>
        <t>FALTA: cuánto cuero usa cada cartera (o cuántas salen de una chapa) y el precio de la chapa.</t>
      </text>
    </comment>
    <comment ref="A10" authorId="0" shapeId="0">
      <text>
        <t>FALTA: lo que cobra el taller por cada cartera de producción (no la muestra).</t>
      </text>
    </comment>
    <comment ref="A11" authorId="0" shapeId="0">
      <text>
        <t>FALTA: broche imán, cierres, hebilla, microfibra, hilo.</t>
      </text>
    </comment>
    <comment ref="A12" authorId="0" shapeId="0">
      <text>
        <t>Opcional: si el envío lo paga el cliente, dejalo vacío.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5" authorId="0" shapeId="0">
      <text>
        <t>Dato de Loli: $16.000 por cartera.</t>
      </text>
    </comment>
    <comment ref="A6" authorId="0" shapeId="0">
      <text>
        <t>Dato de Loli: $19.000 por cartera.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Algo Nuestro · Cuánto sale hacer una cartera</t>
        </is>
      </c>
    </row>
    <row r="2">
      <c r="A2" s="2" t="inlineStr">
        <is>
          <t>Todo se calcula con las otras hojas. Las filas amarillas son costos que todavía faltan: completalos acá.</t>
        </is>
      </c>
    </row>
    <row r="4">
      <c r="A4" s="3" t="inlineStr">
        <is>
          <t>Concepto</t>
        </is>
      </c>
      <c r="B4" s="3" t="inlineStr">
        <is>
          <t>Bandolera Potra</t>
        </is>
      </c>
      <c r="C4" s="3" t="inlineStr">
        <is>
          <t>Matera Criolla</t>
        </is>
      </c>
      <c r="D4" s="3" t="inlineStr">
        <is>
          <t>Cartera Gauchita</t>
        </is>
      </c>
    </row>
    <row r="5">
      <c r="A5" s="4" t="inlineStr">
        <is>
          <t>Trenzado</t>
        </is>
      </c>
      <c r="B5" s="5" t="n">
        <v>0</v>
      </c>
      <c r="C5" s="5">
        <f>Compras!$F$6</f>
        <v/>
      </c>
      <c r="D5" s="5">
        <f>Compras!$F$5</f>
        <v/>
      </c>
    </row>
    <row r="6">
      <c r="A6" s="6" t="inlineStr">
        <is>
          <t>Bolsa de lienzo</t>
        </is>
      </c>
      <c r="B6" s="7">
        <f>Compras!$F$7</f>
        <v/>
      </c>
      <c r="C6" s="7">
        <f>Compras!$F$10</f>
        <v/>
      </c>
      <c r="D6" s="7">
        <f>Compras!$F$10</f>
        <v/>
      </c>
    </row>
    <row r="7">
      <c r="A7" s="4" t="inlineStr">
        <is>
          <t>Bolsa de cartulina</t>
        </is>
      </c>
      <c r="B7" s="5">
        <f>Compras!$F$8</f>
        <v/>
      </c>
      <c r="C7" s="5">
        <f>Compras!$F$11</f>
        <v/>
      </c>
      <c r="D7" s="5">
        <f>Compras!$F$11</f>
        <v/>
      </c>
    </row>
    <row r="8">
      <c r="A8" s="6" t="inlineStr">
        <is>
          <t>Bolsa e-commerce</t>
        </is>
      </c>
      <c r="B8" s="7">
        <f>Compras!$F$9</f>
        <v/>
      </c>
      <c r="C8" s="7">
        <f>Compras!$F$12</f>
        <v/>
      </c>
      <c r="D8" s="7">
        <f>Compras!$F$12</f>
        <v/>
      </c>
    </row>
    <row r="9">
      <c r="A9" s="8" t="inlineStr">
        <is>
          <t>Cuero de producción (por cartera)</t>
        </is>
      </c>
      <c r="B9" s="9" t="n"/>
      <c r="C9" s="9" t="n"/>
      <c r="D9" s="9" t="n"/>
    </row>
    <row r="10">
      <c r="A10" s="8" t="inlineStr">
        <is>
          <t>Mano de obra del taller (producción)</t>
        </is>
      </c>
      <c r="B10" s="9" t="n"/>
      <c r="C10" s="9" t="n"/>
      <c r="D10" s="9" t="n"/>
    </row>
    <row r="11">
      <c r="A11" s="8" t="inlineStr">
        <is>
          <t>Herrajes, cierres, forro, hilo</t>
        </is>
      </c>
      <c r="B11" s="9" t="n"/>
      <c r="C11" s="9" t="n"/>
      <c r="D11" s="9" t="n"/>
    </row>
    <row r="12">
      <c r="A12" s="8" t="inlineStr">
        <is>
          <t>Envío al cliente (si lo pagás vos)</t>
        </is>
      </c>
      <c r="B12" s="9" t="n"/>
      <c r="C12" s="9" t="n"/>
      <c r="D12" s="9" t="n"/>
    </row>
    <row r="13">
      <c r="A13" s="10" t="inlineStr">
        <is>
          <t>Costo por cartera (materiales, trenzado, packaging)</t>
        </is>
      </c>
      <c r="B13" s="11">
        <f>SUM(B5:B12)</f>
        <v/>
      </c>
      <c r="C13" s="11">
        <f>SUM(C5:C12)</f>
        <v/>
      </c>
      <c r="D13" s="11">
        <f>SUM(D5:D12)</f>
        <v/>
      </c>
    </row>
    <row r="14">
      <c r="A14" s="6" t="inlineStr">
        <is>
          <t>+ Muestras y moldes (mientras se recuperan)</t>
        </is>
      </c>
      <c r="B14" s="7">
        <f>'Muestras y moldes'!$F$13</f>
        <v/>
      </c>
      <c r="C14" s="7">
        <f>'Muestras y moldes'!$G$13</f>
        <v/>
      </c>
      <c r="D14" s="7">
        <f>'Muestras y moldes'!$H$13</f>
        <v/>
      </c>
    </row>
    <row r="15">
      <c r="A15" s="4" t="inlineStr">
        <is>
          <t>+ Gastos fijos del mes (monotributo, Tiendanube)</t>
        </is>
      </c>
      <c r="B15" s="5">
        <f>'Fijos del mes'!$B$9</f>
        <v/>
      </c>
      <c r="C15" s="5">
        <f>'Fijos del mes'!$B$9</f>
        <v/>
      </c>
      <c r="D15" s="5">
        <f>'Fijos del mes'!$B$9</f>
        <v/>
      </c>
    </row>
    <row r="16">
      <c r="A16" s="10" t="inlineStr">
        <is>
          <t>Costo con TODO incluido</t>
        </is>
      </c>
      <c r="B16" s="11">
        <f>B13+B14+B15</f>
        <v/>
      </c>
      <c r="C16" s="11">
        <f>C13+C14+C15</f>
        <v/>
      </c>
      <c r="D16" s="11">
        <f>D13+D14+D15</f>
        <v/>
      </c>
    </row>
    <row r="18">
      <c r="A18" s="3" t="inlineStr">
        <is>
          <t>Precio sugerido</t>
        </is>
      </c>
      <c r="B18" s="3" t="inlineStr">
        <is>
          <t>Bandolera Potra</t>
        </is>
      </c>
      <c r="C18" s="3" t="inlineStr">
        <is>
          <t>Matera Criolla</t>
        </is>
      </c>
      <c r="D18" s="3" t="inlineStr">
        <is>
          <t>Cartera Gauchita</t>
        </is>
      </c>
    </row>
    <row r="19">
      <c r="A19" s="4" t="inlineStr">
        <is>
          <t>Precio = Costo ÷ (1 − margen − comisiones)</t>
        </is>
      </c>
      <c r="B19" s="5">
        <f>IF(1-Supuestos!$B$7-Supuestos!$B$12&lt;=0,"",B16/(1-Supuestos!$B$7-Supuestos!$B$12))</f>
        <v/>
      </c>
      <c r="C19" s="5">
        <f>IF(1-Supuestos!$B$7-Supuestos!$B$12&lt;=0,"",C16/(1-Supuestos!$B$7-Supuestos!$B$12))</f>
        <v/>
      </c>
      <c r="D19" s="5">
        <f>IF(1-Supuestos!$B$7-Supuestos!$B$12&lt;=0,"",D16/(1-Supuestos!$B$7-Supuestos!$B$12))</f>
        <v/>
      </c>
    </row>
    <row r="20">
      <c r="A20" s="10" t="inlineStr">
        <is>
          <t>Precio redondeado (para arriba)</t>
        </is>
      </c>
      <c r="B20" s="11">
        <f>IF(B19="","",IF(Supuestos!$B$11&gt;0,CEILING(B19,Supuestos!$B$11),B19))</f>
        <v/>
      </c>
      <c r="C20" s="11">
        <f>IF(C19="","",IF(Supuestos!$B$11&gt;0,CEILING(C19,Supuestos!$B$11),C19))</f>
        <v/>
      </c>
      <c r="D20" s="11">
        <f>IF(D19="","",IF(Supuestos!$B$11&gt;0,CEILING(D19,Supuestos!$B$11),D19))</f>
        <v/>
      </c>
    </row>
    <row r="21">
      <c r="A21" s="4" t="inlineStr">
        <is>
          <t>− Comisiones e IVA de comisiones</t>
        </is>
      </c>
      <c r="B21" s="5">
        <f>IF(B20="","",B20*Supuestos!$B$12)</f>
        <v/>
      </c>
      <c r="C21" s="5">
        <f>IF(C20="","",C20*Supuestos!$B$12)</f>
        <v/>
      </c>
      <c r="D21" s="5">
        <f>IF(D20="","",D20*Supuestos!$B$12)</f>
        <v/>
      </c>
    </row>
    <row r="22">
      <c r="A22" s="12" t="inlineStr">
        <is>
          <t>Te queda por cartera</t>
        </is>
      </c>
      <c r="B22" s="13">
        <f>IF(B20="","",B20-B21-B16)</f>
        <v/>
      </c>
      <c r="C22" s="13">
        <f>IF(C20="","",C20-C21-C16)</f>
        <v/>
      </c>
      <c r="D22" s="13">
        <f>IF(D20="","",D20-D21-D16)</f>
        <v/>
      </c>
    </row>
    <row r="23">
      <c r="A23" s="4" t="inlineStr">
        <is>
          <t>Margen real</t>
        </is>
      </c>
      <c r="B23" s="14">
        <f>IF(B20="","",B22/B20)</f>
        <v/>
      </c>
      <c r="C23" s="14">
        <f>IF(C20="","",C22/C20)</f>
        <v/>
      </c>
      <c r="D23" s="14">
        <f>IF(D20="","",D22/D20)</f>
        <v/>
      </c>
    </row>
    <row r="25">
      <c r="A25" s="2" t="inlineStr">
        <is>
          <t>Ojo: mientras las filas amarillas estén vacías, el costo va a dar más bajo de lo real (falta el cuero, el taller y los herrajes de producción).</t>
        </is>
      </c>
    </row>
    <row r="26">
      <c r="A26" s="2" t="inlineStr">
        <is>
          <t>Después de las primeras carteras de cada modelo (Supuestos), las muestras y moldes ya están pagos y el costo baja.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60" customWidth="1" min="3" max="3"/>
  </cols>
  <sheetData>
    <row r="1">
      <c r="A1" s="1" t="inlineStr">
        <is>
          <t>Algo Nuestro · Supuestos</t>
        </is>
      </c>
    </row>
    <row r="2">
      <c r="A2" s="2" t="inlineStr">
        <is>
          <t>Celdas amarillas con número azul: las completás o cambiás vos. Todo lo demás se calcula solo.</t>
        </is>
      </c>
    </row>
    <row r="4">
      <c r="A4" s="3" t="inlineStr">
        <is>
          <t>Dato</t>
        </is>
      </c>
      <c r="B4" s="3" t="inlineStr">
        <is>
          <t>Valor</t>
        </is>
      </c>
      <c r="C4" s="3" t="inlineStr">
        <is>
          <t>Nota</t>
        </is>
      </c>
    </row>
    <row r="5">
      <c r="A5" s="4" t="inlineStr">
        <is>
          <t>Recuperar muestras y moldes en … carteras de cada modelo</t>
        </is>
      </c>
      <c r="B5" s="15" t="n">
        <v>10</v>
      </c>
      <c r="C5" s="2" t="inlineStr">
        <is>
          <t>Con 10: se recuperan con las primeras 10 de cada modelo (30 en total).</t>
        </is>
      </c>
    </row>
    <row r="6">
      <c r="A6" s="4" t="inlineStr">
        <is>
          <t>Carteras que pensás vender por mes (todas)</t>
        </is>
      </c>
      <c r="B6" s="15" t="n">
        <v>20</v>
      </c>
      <c r="C6" s="2" t="inlineStr">
        <is>
          <t>SUPUESTO para el ejemplo: cambialo por tu estimación.</t>
        </is>
      </c>
    </row>
    <row r="7">
      <c r="A7" s="4" t="inlineStr">
        <is>
          <t>Margen que querés quedarte (% del precio)</t>
        </is>
      </c>
      <c r="B7" s="16" t="n">
        <v>0.5</v>
      </c>
      <c r="C7" s="2" t="inlineStr">
        <is>
          <t>El margen es sobre el precio de venta.</t>
        </is>
      </c>
    </row>
    <row r="8">
      <c r="A8" s="4" t="inlineStr">
        <is>
          <t>Comisión Tiendanube por venta</t>
        </is>
      </c>
      <c r="B8" s="16" t="n">
        <v>0</v>
      </c>
      <c r="C8" s="2" t="inlineStr">
        <is>
          <t>PENDIENTE: completar según tu plan.</t>
        </is>
      </c>
    </row>
    <row r="9">
      <c r="A9" s="4" t="inlineStr">
        <is>
          <t>Comisión Mercado Pago (el medio más caro que ofrezcas)</t>
        </is>
      </c>
      <c r="B9" s="16" t="n">
        <v>0</v>
      </c>
      <c r="C9" s="2" t="inlineStr">
        <is>
          <t>PENDIENTE: ver costos de Mercado Pago.</t>
        </is>
      </c>
    </row>
    <row r="10">
      <c r="A10" s="4" t="inlineStr">
        <is>
          <t>IVA sobre comisiones</t>
        </is>
      </c>
      <c r="B10" s="16" t="n">
        <v>0.21</v>
      </c>
      <c r="C10" s="2" t="inlineStr">
        <is>
          <t>Como monotributista no lo recuperás. Poné 0% si no aplica.</t>
        </is>
      </c>
    </row>
    <row r="11">
      <c r="A11" s="4" t="inlineStr">
        <is>
          <t>Redondear precio a</t>
        </is>
      </c>
      <c r="B11" s="9" t="n">
        <v>1000</v>
      </c>
      <c r="C11" s="2" t="inlineStr">
        <is>
          <t>Se redondea para arriba.</t>
        </is>
      </c>
    </row>
    <row r="12">
      <c r="A12" s="12" t="inlineStr">
        <is>
          <t>Comisiones e impuestos totales</t>
        </is>
      </c>
      <c r="B12" s="17">
        <f>(B8+B9)*(1+B10)</f>
        <v/>
      </c>
      <c r="C12" s="2" t="inlineStr">
        <is>
          <t>(Tiendanube + Mercado Pago) × (1 + IVA)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7" customWidth="1" min="3" max="3"/>
    <col width="12" customWidth="1" min="4" max="4"/>
    <col width="16" customWidth="1" min="5" max="5"/>
    <col width="17" customWidth="1" min="6" max="6"/>
    <col width="15" customWidth="1" min="7" max="7"/>
    <col width="20" customWidth="1" min="8" max="8"/>
  </cols>
  <sheetData>
    <row r="1">
      <c r="A1" s="1" t="inlineStr">
        <is>
          <t>Lo que usa cada cartera</t>
        </is>
      </c>
    </row>
    <row r="2">
      <c r="A2" s="2" t="inlineStr">
        <is>
          <t>Precio por unidad × cuántas usa cada cartera. Lo que compraste de más queda de stock y no se le cobra a nadie.</t>
        </is>
      </c>
    </row>
    <row r="4">
      <c r="A4" s="3" t="inlineStr">
        <is>
          <t>Ítem</t>
        </is>
      </c>
      <c r="B4" s="3" t="inlineStr">
        <is>
          <t>Para</t>
        </is>
      </c>
      <c r="C4" s="3" t="inlineStr">
        <is>
          <t>Precio por unidad</t>
        </is>
      </c>
      <c r="D4" s="3" t="inlineStr">
        <is>
          <t>Compraste</t>
        </is>
      </c>
      <c r="E4" s="3" t="inlineStr">
        <is>
          <t>Usa cada cartera</t>
        </is>
      </c>
      <c r="F4" s="3" t="inlineStr">
        <is>
          <t>Costo por cartera</t>
        </is>
      </c>
      <c r="G4" s="3" t="inlineStr">
        <is>
          <t>Total pagado</t>
        </is>
      </c>
      <c r="H4" s="3" t="inlineStr">
        <is>
          <t>Alcanza para (carteras)</t>
        </is>
      </c>
    </row>
    <row r="5">
      <c r="A5" s="4" t="inlineStr">
        <is>
          <t>Trenzado plano</t>
        </is>
      </c>
      <c r="B5" s="4" t="inlineStr">
        <is>
          <t>Gauchita</t>
        </is>
      </c>
      <c r="C5" s="9" t="n">
        <v>16000</v>
      </c>
      <c r="D5" s="18" t="n"/>
      <c r="E5" s="18" t="n">
        <v>1</v>
      </c>
      <c r="F5" s="5">
        <f>C5*E5</f>
        <v/>
      </c>
      <c r="G5" s="5">
        <f>IF(D5="","",C5*D5)</f>
        <v/>
      </c>
      <c r="H5" s="19">
        <f>IF(D5="","",D5/E5)</f>
        <v/>
      </c>
    </row>
    <row r="6">
      <c r="A6" s="6" t="inlineStr">
        <is>
          <t>Trenzado tubular</t>
        </is>
      </c>
      <c r="B6" s="6" t="inlineStr">
        <is>
          <t>Criolla</t>
        </is>
      </c>
      <c r="C6" s="9" t="n">
        <v>19000</v>
      </c>
      <c r="D6" s="18" t="n"/>
      <c r="E6" s="18" t="n">
        <v>1</v>
      </c>
      <c r="F6" s="7">
        <f>C6*E6</f>
        <v/>
      </c>
      <c r="G6" s="7">
        <f>IF(D6="","",C6*D6)</f>
        <v/>
      </c>
      <c r="H6" s="20">
        <f>IF(D6="","",D6/E6)</f>
        <v/>
      </c>
    </row>
    <row r="7">
      <c r="A7" s="4" t="inlineStr">
        <is>
          <t>Bolsa lienzo chica</t>
        </is>
      </c>
      <c r="B7" s="4" t="inlineStr">
        <is>
          <t>Potra</t>
        </is>
      </c>
      <c r="C7" s="9" t="n">
        <v>2600</v>
      </c>
      <c r="D7" s="18" t="n">
        <v>30</v>
      </c>
      <c r="E7" s="18" t="n">
        <v>1</v>
      </c>
      <c r="F7" s="5">
        <f>C7*E7</f>
        <v/>
      </c>
      <c r="G7" s="5">
        <f>IF(D7="","",C7*D7)</f>
        <v/>
      </c>
      <c r="H7" s="19">
        <f>IF(D7="","",D7/E7)</f>
        <v/>
      </c>
    </row>
    <row r="8">
      <c r="A8" s="6" t="inlineStr">
        <is>
          <t>Bolsa cartulina chica</t>
        </is>
      </c>
      <c r="B8" s="6" t="inlineStr">
        <is>
          <t>Potra</t>
        </is>
      </c>
      <c r="C8" s="9" t="n">
        <v>3670</v>
      </c>
      <c r="D8" s="18" t="n">
        <v>25</v>
      </c>
      <c r="E8" s="18" t="n">
        <v>1</v>
      </c>
      <c r="F8" s="7">
        <f>C8*E8</f>
        <v/>
      </c>
      <c r="G8" s="7">
        <f>IF(D8="","",C8*D8)</f>
        <v/>
      </c>
      <c r="H8" s="20">
        <f>IF(D8="","",D8/E8)</f>
        <v/>
      </c>
    </row>
    <row r="9">
      <c r="A9" s="4" t="inlineStr">
        <is>
          <t>Bolsa e-commerce chica</t>
        </is>
      </c>
      <c r="B9" s="4" t="inlineStr">
        <is>
          <t>Potra</t>
        </is>
      </c>
      <c r="C9" s="9" t="n">
        <v>133</v>
      </c>
      <c r="D9" s="18" t="n">
        <v>100</v>
      </c>
      <c r="E9" s="18" t="n">
        <v>1</v>
      </c>
      <c r="F9" s="5">
        <f>C9*E9</f>
        <v/>
      </c>
      <c r="G9" s="5">
        <f>IF(D9="","",C9*D9)</f>
        <v/>
      </c>
      <c r="H9" s="19">
        <f>IF(D9="","",D9/E9)</f>
        <v/>
      </c>
    </row>
    <row r="10">
      <c r="A10" s="6" t="inlineStr">
        <is>
          <t>Bolsa lienzo grande</t>
        </is>
      </c>
      <c r="B10" s="6" t="inlineStr">
        <is>
          <t>Gauchita y Criolla</t>
        </is>
      </c>
      <c r="C10" s="9" t="n">
        <v>4500</v>
      </c>
      <c r="D10" s="18" t="n">
        <v>30</v>
      </c>
      <c r="E10" s="18" t="n">
        <v>1</v>
      </c>
      <c r="F10" s="7">
        <f>C10*E10</f>
        <v/>
      </c>
      <c r="G10" s="7">
        <f>IF(D10="","",C10*D10)</f>
        <v/>
      </c>
      <c r="H10" s="20">
        <f>IF(D10="","",D10/E10)</f>
        <v/>
      </c>
    </row>
    <row r="11">
      <c r="A11" s="4" t="inlineStr">
        <is>
          <t>Bolsa cartulina grande</t>
        </is>
      </c>
      <c r="B11" s="4" t="inlineStr">
        <is>
          <t>Gauchita y Criolla</t>
        </is>
      </c>
      <c r="C11" s="9" t="n">
        <v>4705</v>
      </c>
      <c r="D11" s="18" t="n">
        <v>50</v>
      </c>
      <c r="E11" s="18" t="n">
        <v>1</v>
      </c>
      <c r="F11" s="5">
        <f>C11*E11</f>
        <v/>
      </c>
      <c r="G11" s="5">
        <f>IF(D11="","",C11*D11)</f>
        <v/>
      </c>
      <c r="H11" s="19">
        <f>IF(D11="","",D11/E11)</f>
        <v/>
      </c>
    </row>
    <row r="12">
      <c r="A12" s="6" t="inlineStr">
        <is>
          <t>Bolsa e-commerce grande</t>
        </is>
      </c>
      <c r="B12" s="6" t="inlineStr">
        <is>
          <t>Gauchita y Criolla</t>
        </is>
      </c>
      <c r="C12" s="9" t="n">
        <v>305</v>
      </c>
      <c r="D12" s="18" t="n">
        <v>100</v>
      </c>
      <c r="E12" s="18" t="n">
        <v>1</v>
      </c>
      <c r="F12" s="7">
        <f>C12*E12</f>
        <v/>
      </c>
      <c r="G12" s="7">
        <f>IF(D12="","",C12*D12)</f>
        <v/>
      </c>
      <c r="H12" s="20">
        <f>IF(D12="","",D12/E12)</f>
        <v/>
      </c>
    </row>
    <row r="13">
      <c r="A13" s="10" t="inlineStr">
        <is>
          <t>Total pagado en compras</t>
        </is>
      </c>
      <c r="B13" s="21" t="n"/>
      <c r="C13" s="21" t="n"/>
      <c r="D13" s="21" t="n"/>
      <c r="E13" s="21" t="n"/>
      <c r="F13" s="21" t="n"/>
      <c r="G13" s="11">
        <f>SUM(G5:G12)</f>
        <v/>
      </c>
      <c r="H13" s="21" t="n"/>
    </row>
    <row r="15">
      <c r="A15" s="2" t="inlineStr">
        <is>
          <t>Precios de Loli. Si alguno era sin IVA, multiplicalo por 1,21 en la columna C.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9" customWidth="1" min="3" max="3"/>
    <col width="9" customWidth="1" min="4" max="4"/>
    <col width="10" customWidth="1" min="5" max="5"/>
    <col width="14" customWidth="1" min="6" max="6"/>
    <col width="14" customWidth="1" min="7" max="7"/>
    <col width="15" customWidth="1" min="8" max="8"/>
  </cols>
  <sheetData>
    <row r="1">
      <c r="A1" s="1" t="inlineStr">
        <is>
          <t>Muestras y moldes (se pagan una sola vez)</t>
        </is>
      </c>
    </row>
    <row r="2">
      <c r="A2" s="2" t="inlineStr">
        <is>
          <t>Poné 1 en cada modelo al que corresponde el gasto. Se reparte en partes iguales entre esos modelos.</t>
        </is>
      </c>
    </row>
    <row r="4">
      <c r="A4" s="3" t="inlineStr">
        <is>
          <t>Gasto</t>
        </is>
      </c>
      <c r="B4" s="3" t="inlineStr">
        <is>
          <t>Monto</t>
        </is>
      </c>
      <c r="C4" s="3" t="inlineStr">
        <is>
          <t>Potra</t>
        </is>
      </c>
      <c r="D4" s="3" t="inlineStr">
        <is>
          <t>Criolla</t>
        </is>
      </c>
      <c r="E4" s="3" t="inlineStr">
        <is>
          <t>Gauchita</t>
        </is>
      </c>
      <c r="F4" s="3" t="inlineStr">
        <is>
          <t>Parte Potra</t>
        </is>
      </c>
      <c r="G4" s="3" t="inlineStr">
        <is>
          <t>Parte Criolla</t>
        </is>
      </c>
      <c r="H4" s="3" t="inlineStr">
        <is>
          <t>Parte Gauchita</t>
        </is>
      </c>
    </row>
    <row r="5">
      <c r="A5" s="4" t="inlineStr">
        <is>
          <t>2 chapas de cuero (≈1,6 m² c/u) para las muestras</t>
        </is>
      </c>
      <c r="B5" s="9" t="n">
        <v>95000</v>
      </c>
      <c r="C5" s="22" t="n">
        <v>1</v>
      </c>
      <c r="D5" s="22" t="n">
        <v>1</v>
      </c>
      <c r="E5" s="22" t="n">
        <v>1</v>
      </c>
      <c r="F5" s="5">
        <f>IF(SUM($C5:$E5)=0,0,$B5*C5/SUM($C5:$E5))</f>
        <v/>
      </c>
      <c r="G5" s="5">
        <f>IF(SUM($C5:$E5)=0,0,$B5*D5/SUM($C5:$E5))</f>
        <v/>
      </c>
      <c r="H5" s="5">
        <f>IF(SUM($C5:$E5)=0,0,$B5*E5/SUM($C5:$E5))</f>
        <v/>
      </c>
    </row>
    <row r="6">
      <c r="A6" s="6" t="inlineStr">
        <is>
          <t>Muestra en friselina (las 3)</t>
        </is>
      </c>
      <c r="B6" s="9" t="n">
        <v>100000</v>
      </c>
      <c r="C6" s="22" t="n">
        <v>1</v>
      </c>
      <c r="D6" s="22" t="n">
        <v>1</v>
      </c>
      <c r="E6" s="22" t="n">
        <v>1</v>
      </c>
      <c r="F6" s="7">
        <f>IF(SUM($C6:$E6)=0,0,$B6*C6/SUM($C6:$E6))</f>
        <v/>
      </c>
      <c r="G6" s="7">
        <f>IF(SUM($C6:$E6)=0,0,$B6*D6/SUM($C6:$E6))</f>
        <v/>
      </c>
      <c r="H6" s="7">
        <f>IF(SUM($C6:$E6)=0,0,$B6*E6/SUM($C6:$E6))</f>
        <v/>
      </c>
    </row>
    <row r="7">
      <c r="A7" s="4" t="inlineStr">
        <is>
          <t>Envío muestras friselina</t>
        </is>
      </c>
      <c r="B7" s="9" t="n">
        <v>40000</v>
      </c>
      <c r="C7" s="22" t="n">
        <v>1</v>
      </c>
      <c r="D7" s="22" t="n">
        <v>1</v>
      </c>
      <c r="E7" s="22" t="n">
        <v>1</v>
      </c>
      <c r="F7" s="5">
        <f>IF(SUM($C7:$E7)=0,0,$B7*C7/SUM($C7:$E7))</f>
        <v/>
      </c>
      <c r="G7" s="5">
        <f>IF(SUM($C7:$E7)=0,0,$B7*D7/SUM($C7:$E7))</f>
        <v/>
      </c>
      <c r="H7" s="5">
        <f>IF(SUM($C7:$E7)=0,0,$B7*E7/SUM($C7:$E7))</f>
        <v/>
      </c>
    </row>
    <row r="8">
      <c r="A8" s="6" t="inlineStr">
        <is>
          <t>Envío trenzador (solo las trenzadas)</t>
        </is>
      </c>
      <c r="B8" s="9" t="n">
        <v>30000</v>
      </c>
      <c r="C8" s="22" t="n">
        <v>0</v>
      </c>
      <c r="D8" s="22" t="n">
        <v>1</v>
      </c>
      <c r="E8" s="22" t="n">
        <v>1</v>
      </c>
      <c r="F8" s="7">
        <f>IF(SUM($C8:$E8)=0,0,$B8*C8/SUM($C8:$E8))</f>
        <v/>
      </c>
      <c r="G8" s="7">
        <f>IF(SUM($C8:$E8)=0,0,$B8*D8/SUM($C8:$E8))</f>
        <v/>
      </c>
      <c r="H8" s="7">
        <f>IF(SUM($C8:$E8)=0,0,$B8*E8/SUM($C8:$E8))</f>
        <v/>
      </c>
    </row>
    <row r="9">
      <c r="A9" s="4" t="inlineStr">
        <is>
          <t>Molde / muestra: mano de obra cuero y molde papel — Potra</t>
        </is>
      </c>
      <c r="B9" s="9" t="n">
        <v>50000</v>
      </c>
      <c r="C9" s="22" t="n">
        <v>1</v>
      </c>
      <c r="D9" s="22" t="n">
        <v>0</v>
      </c>
      <c r="E9" s="22" t="n">
        <v>0</v>
      </c>
      <c r="F9" s="5">
        <f>IF(SUM($C9:$E9)=0,0,$B9*C9/SUM($C9:$E9))</f>
        <v/>
      </c>
      <c r="G9" s="5">
        <f>IF(SUM($C9:$E9)=0,0,$B9*D9/SUM($C9:$E9))</f>
        <v/>
      </c>
      <c r="H9" s="5">
        <f>IF(SUM($C9:$E9)=0,0,$B9*E9/SUM($C9:$E9))</f>
        <v/>
      </c>
    </row>
    <row r="10">
      <c r="A10" s="6" t="inlineStr">
        <is>
          <t>Molde / muestra: mano de obra cuero y molde papel — Criolla</t>
        </is>
      </c>
      <c r="B10" s="9" t="n">
        <v>50000</v>
      </c>
      <c r="C10" s="22" t="n">
        <v>0</v>
      </c>
      <c r="D10" s="22" t="n">
        <v>1</v>
      </c>
      <c r="E10" s="22" t="n">
        <v>0</v>
      </c>
      <c r="F10" s="7">
        <f>IF(SUM($C10:$E10)=0,0,$B10*C10/SUM($C10:$E10))</f>
        <v/>
      </c>
      <c r="G10" s="7">
        <f>IF(SUM($C10:$E10)=0,0,$B10*D10/SUM($C10:$E10))</f>
        <v/>
      </c>
      <c r="H10" s="7">
        <f>IF(SUM($C10:$E10)=0,0,$B10*E10/SUM($C10:$E10))</f>
        <v/>
      </c>
    </row>
    <row r="11">
      <c r="A11" s="4" t="inlineStr">
        <is>
          <t>Molde / muestra: mano de obra cuero y molde papel — Gauchita</t>
        </is>
      </c>
      <c r="B11" s="9" t="n">
        <v>50000</v>
      </c>
      <c r="C11" s="22" t="n">
        <v>0</v>
      </c>
      <c r="D11" s="22" t="n">
        <v>0</v>
      </c>
      <c r="E11" s="22" t="n">
        <v>1</v>
      </c>
      <c r="F11" s="5">
        <f>IF(SUM($C11:$E11)=0,0,$B11*C11/SUM($C11:$E11))</f>
        <v/>
      </c>
      <c r="G11" s="5">
        <f>IF(SUM($C11:$E11)=0,0,$B11*D11/SUM($C11:$E11))</f>
        <v/>
      </c>
      <c r="H11" s="5">
        <f>IF(SUM($C11:$E11)=0,0,$B11*E11/SUM($C11:$E11))</f>
        <v/>
      </c>
    </row>
    <row r="12">
      <c r="A12" s="10" t="inlineStr">
        <is>
          <t>Total por modelo</t>
        </is>
      </c>
      <c r="B12" s="11">
        <f>SUM(B5:B11)</f>
        <v/>
      </c>
      <c r="C12" s="21" t="n"/>
      <c r="D12" s="21" t="n"/>
      <c r="E12" s="21" t="n"/>
      <c r="F12" s="11">
        <f>SUM(F5:F11)</f>
        <v/>
      </c>
      <c r="G12" s="11">
        <f>SUM(G5:G11)</f>
        <v/>
      </c>
      <c r="H12" s="11">
        <f>SUM(H5:H11)</f>
        <v/>
      </c>
    </row>
    <row r="13">
      <c r="A13" s="12" t="inlineStr">
        <is>
          <t>Por cartera (÷ carteras de cada modelo en Supuestos)</t>
        </is>
      </c>
      <c r="F13" s="13">
        <f>F12/Supuestos!$B$5</f>
        <v/>
      </c>
      <c r="G13" s="13">
        <f>G12/Supuestos!$B$5</f>
        <v/>
      </c>
      <c r="H13" s="13">
        <f>H12/Supuestos!$B$5</f>
        <v/>
      </c>
    </row>
    <row r="14">
      <c r="A14" s="2" t="inlineStr">
        <is>
          <t>Control: la suma de las partes tiene que dar el total</t>
        </is>
      </c>
      <c r="B14" s="2">
        <f>IF(ROUND(SUM(F12:H12)-B12,0)=0,"OK","Revisar")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0" customWidth="1" min="3" max="3"/>
  </cols>
  <sheetData>
    <row r="1">
      <c r="A1" s="1" t="inlineStr">
        <is>
          <t>Gastos fijos del mes</t>
        </is>
      </c>
    </row>
    <row r="2">
      <c r="A2" s="2" t="inlineStr">
        <is>
          <t>Se reparten entre las carteras que vendés por mes (Supuestos).</t>
        </is>
      </c>
    </row>
    <row r="4">
      <c r="A4" s="3" t="inlineStr">
        <is>
          <t>Gasto</t>
        </is>
      </c>
      <c r="B4" s="3" t="inlineStr">
        <is>
          <t>Por mes</t>
        </is>
      </c>
      <c r="C4" s="3" t="inlineStr">
        <is>
          <t>Nota</t>
        </is>
      </c>
    </row>
    <row r="5">
      <c r="A5" s="4" t="inlineStr">
        <is>
          <t>Monotributo</t>
        </is>
      </c>
      <c r="B5" s="9" t="n">
        <v>10000</v>
      </c>
    </row>
    <row r="6">
      <c r="A6" s="4" t="inlineStr">
        <is>
          <t>Plan Tiendanube</t>
        </is>
      </c>
      <c r="B6" s="9" t="n">
        <v>28000</v>
      </c>
    </row>
    <row r="7">
      <c r="A7" s="4" t="inlineStr">
        <is>
          <t>Otro (si aparece)</t>
        </is>
      </c>
      <c r="B7" s="9" t="n">
        <v>0</v>
      </c>
    </row>
    <row r="8">
      <c r="A8" s="10" t="inlineStr">
        <is>
          <t>Total por mes</t>
        </is>
      </c>
      <c r="B8" s="11">
        <f>SUM(B5:B7)</f>
        <v/>
      </c>
      <c r="C8" s="21" t="n"/>
    </row>
    <row r="9">
      <c r="A9" s="12" t="inlineStr">
        <is>
          <t>Por cartera vendida</t>
        </is>
      </c>
      <c r="B9" s="13">
        <f>IF(Supuestos!$B$6&gt;0,B8/Supuestos!$B$6,0)</f>
        <v/>
      </c>
      <c r="C9" s="2">
        <f> total por mes ÷ carteras que vendés por mes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2026-09-30T20:03:14Z</dcterms:created>
  <dcterms:modified xsi:type="dcterms:W3CDTF">2026-09-30T20:03:14Z</dcterms:modified>
</cp:coreProperties>
</file>